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62728"/>
      </patternFill>
    </fill>
    <fill>
      <patternFill patternType="solid">
        <fgColor rgb="00F8DEDE"/>
      </patternFill>
    </fill>
    <fill>
      <patternFill patternType="solid">
        <fgColor rgb="00FC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62728"/>
    <outlinePr summaryBelow="1" summaryRight="1"/>
    <pageSetUpPr/>
  </sheetPr>
  <dimension ref="A1:F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2" customHeight="1">
      <c r="A1" s="1" t="inlineStr">
        <is>
          <t>HIST-103 — The Emergence of Modern Europe</t>
        </is>
      </c>
    </row>
    <row r="2">
      <c r="A2" s="2" t="inlineStr">
        <is>
          <t>Instructor</t>
        </is>
      </c>
      <c r="B2" t="inlineStr">
        <is>
          <t>Dr. Lindsay O'Neill</t>
        </is>
      </c>
    </row>
    <row r="3">
      <c r="A3" s="2" t="inlineStr">
        <is>
          <t>Term</t>
        </is>
      </c>
      <c r="B3" t="inlineStr">
        <is>
          <t>Fall 2026</t>
        </is>
      </c>
    </row>
    <row r="4">
      <c r="A4" s="2" t="inlineStr">
        <is>
          <t>Required for an A</t>
        </is>
      </c>
      <c r="B4" s="3" t="inlineStr">
        <is>
          <t>93% (100-93)</t>
        </is>
      </c>
    </row>
    <row r="5">
      <c r="A5" s="2" t="inlineStr">
        <is>
          <t>Grading scale</t>
        </is>
      </c>
      <c r="B5" t="inlineStr">
        <is>
          <t>A: 100-93; A-: 92-90; B+: 89-87; B: 86-83; B-: 82-80; C+: 79-77; C: 76-73; C-: 72-70; D+: 69-67; D: 66-63; D-: 62-60; F: 59-0</t>
        </is>
      </c>
    </row>
    <row r="7">
      <c r="A7" s="4" t="inlineStr">
        <is>
          <t>Category</t>
        </is>
      </c>
      <c r="B7" s="4" t="inlineStr">
        <is>
          <t>Weight</t>
        </is>
      </c>
      <c r="C7" s="4" t="inlineStr">
        <is>
          <t>Start Date</t>
        </is>
      </c>
      <c r="D7" s="4" t="inlineStr">
        <is>
          <t>Due Date</t>
        </is>
      </c>
      <c r="E7" s="4" t="inlineStr">
        <is>
          <t>Group Project</t>
        </is>
      </c>
      <c r="F7" s="4" t="inlineStr">
        <is>
          <t>Details</t>
        </is>
      </c>
    </row>
    <row r="8">
      <c r="A8" s="5" t="inlineStr">
        <is>
          <t>Sleep Paper</t>
        </is>
      </c>
      <c r="B8" s="23" t="inlineStr">
        <is>
          <t>20%</t>
        </is>
      </c>
      <c r="C8" s="23" t="inlineStr">
        <is>
          <t>2025-09-04</t>
        </is>
      </c>
      <c r="D8" s="23" t="inlineStr">
        <is>
          <t>2025-09-15</t>
        </is>
      </c>
      <c r="E8" s="23" t="inlineStr">
        <is>
          <t>No</t>
        </is>
      </c>
      <c r="F8" s="24">
        <f>HYPERLINK("https://raw.githubusercontent.com/vengeanceaiUSC/Syllabus-/cursor/add-syllabus-dissector-skill-a676/output/documents/hist-103-sleep-paper.pdf","Open PDF")</f>
        <v/>
      </c>
    </row>
    <row r="9">
      <c r="A9" s="8" t="inlineStr">
        <is>
          <t>Witchcraft Paper</t>
        </is>
      </c>
      <c r="B9" s="25" t="inlineStr">
        <is>
          <t>20%</t>
        </is>
      </c>
      <c r="C9" s="25" t="inlineStr">
        <is>
          <t>2025-11-06</t>
        </is>
      </c>
      <c r="D9" s="25" t="inlineStr">
        <is>
          <t>2025-11-10</t>
        </is>
      </c>
      <c r="E9" s="25" t="inlineStr">
        <is>
          <t>No</t>
        </is>
      </c>
      <c r="F9" s="26">
        <f>HYPERLINK("https://raw.githubusercontent.com/vengeanceaiUSC/Syllabus-/cursor/add-syllabus-dissector-skill-a676/output/documents/hist-103-witchcraft-paper.pdf","Open PDF")</f>
        <v/>
      </c>
    </row>
    <row r="10">
      <c r="A10" s="5" t="inlineStr">
        <is>
          <t>Mid-term</t>
        </is>
      </c>
      <c r="B10" s="23" t="inlineStr">
        <is>
          <t>20%</t>
        </is>
      </c>
      <c r="C10" s="23" t="inlineStr">
        <is>
          <t>2025-08-25</t>
        </is>
      </c>
      <c r="D10" s="23" t="inlineStr">
        <is>
          <t>2025-10-06</t>
        </is>
      </c>
      <c r="E10" s="23" t="inlineStr">
        <is>
          <t>No</t>
        </is>
      </c>
      <c r="F10" s="24">
        <f>HYPERLINK("https://raw.githubusercontent.com/vengeanceaiUSC/Syllabus-/cursor/add-syllabus-dissector-skill-a676/output/documents/hist-103-mid-term.pdf","Open PDF")</f>
        <v/>
      </c>
    </row>
    <row r="11">
      <c r="A11" s="8" t="inlineStr">
        <is>
          <t>Final Exam</t>
        </is>
      </c>
      <c r="B11" s="25" t="inlineStr">
        <is>
          <t>20%</t>
        </is>
      </c>
      <c r="C11" s="25" t="inlineStr">
        <is>
          <t>2025-10-13</t>
        </is>
      </c>
      <c r="D11" s="25" t="inlineStr">
        <is>
          <t>2025-12-10</t>
        </is>
      </c>
      <c r="E11" s="25" t="inlineStr">
        <is>
          <t>No</t>
        </is>
      </c>
      <c r="F11" s="26">
        <f>HYPERLINK("https://raw.githubusercontent.com/vengeanceaiUSC/Syllabus-/cursor/add-syllabus-dissector-skill-a676/output/documents/hist-103-final-exam.pdf","Open PDF")</f>
        <v/>
      </c>
    </row>
    <row r="12">
      <c r="A12" s="5" t="inlineStr">
        <is>
          <t>Discussion Section</t>
        </is>
      </c>
      <c r="B12" s="23" t="inlineStr">
        <is>
          <t>15%</t>
        </is>
      </c>
      <c r="C12" s="23" t="inlineStr">
        <is>
          <t>2025-08-25</t>
        </is>
      </c>
      <c r="D12" s="23" t="inlineStr">
        <is>
          <t>2025-12-04</t>
        </is>
      </c>
      <c r="E12" s="23" t="inlineStr">
        <is>
          <t>No</t>
        </is>
      </c>
      <c r="F12" s="24">
        <f>HYPERLINK("https://raw.githubusercontent.com/vengeanceaiUSC/Syllabus-/cursor/add-syllabus-dissector-skill-a676/output/documents/hist-103-discussion-section.pdf","Open PDF")</f>
        <v/>
      </c>
    </row>
    <row r="13">
      <c r="A13" s="8" t="inlineStr">
        <is>
          <t>Identification Quizzes</t>
        </is>
      </c>
      <c r="B13" s="25" t="inlineStr">
        <is>
          <t>5%</t>
        </is>
      </c>
      <c r="C13" s="25" t="inlineStr">
        <is>
          <t>2025-08-25</t>
        </is>
      </c>
      <c r="D13" s="25" t="inlineStr">
        <is>
          <t>2025-12-03</t>
        </is>
      </c>
      <c r="E13" s="25" t="inlineStr">
        <is>
          <t>No</t>
        </is>
      </c>
      <c r="F13" s="26">
        <f>HYPERLINK("https://raw.githubusercontent.com/vengeanceaiUSC/Syllabus-/cursor/add-syllabus-dissector-skill-a676/output/documents/hist-103-identification-quizzes.pdf","Open PDF")</f>
        <v/>
      </c>
    </row>
    <row r="14">
      <c r="A14" s="5" t="inlineStr">
        <is>
          <t>Extra Credit</t>
        </is>
      </c>
      <c r="B14" s="23" t="inlineStr">
        <is>
          <t>—</t>
        </is>
      </c>
      <c r="C14" s="23" t="inlineStr">
        <is>
          <t>2025-08-25</t>
        </is>
      </c>
      <c r="D14" s="23" t="inlineStr">
        <is>
          <t>2025-12-04</t>
        </is>
      </c>
      <c r="E14" s="23" t="inlineStr">
        <is>
          <t>No</t>
        </is>
      </c>
      <c r="F14" s="24">
        <f>HYPERLINK("https://raw.githubusercontent.com/vengeanceaiUSC/Syllabus-/cursor/add-syllabus-dissector-skill-a676/output/documents/hist-103-extra-credit.pdf","Open PDF")</f>
        <v/>
      </c>
    </row>
    <row r="15">
      <c r="A15" s="2" t="inlineStr">
        <is>
          <t>Total</t>
        </is>
      </c>
      <c r="B15" s="2" t="inlineStr">
        <is>
          <t>100%</t>
        </is>
      </c>
    </row>
  </sheetData>
  <mergeCells count="2">
    <mergeCell ref="A1:F1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2026-08-20T23:25:37Z</dcterms:created>
  <dcterms:modified xmlns:dcterms="http://purl.org/dc/terms/" xmlns:xsi="http://www.w3.org/2001/XMLSchema-instance" xsi:type="dcterms:W3CDTF">2026-08-20T23:47:28Z</dcterms:modified>
</cp:coreProperties>
</file>