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</fonts>
  <fills count="13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" t="inlineStr">
        <is>
          <t>20%</t>
        </is>
      </c>
      <c r="C9" s="7" t="inlineStr">
        <is>
          <t>2026-03-20</t>
        </is>
      </c>
      <c r="D9" s="7" t="inlineStr">
        <is>
          <t>2026-09-15</t>
        </is>
      </c>
      <c r="E9" s="7" t="inlineStr">
        <is>
          <t>No</t>
        </is>
      </c>
      <c r="F9" s="8">
        <f>HYPERLINK("https://raw.githubusercontent.com/vengeanceaiUSC/Syllabus-/cursor/add-syllabus-dissector-skill-a676/output/documents/hist-103-sleep-paper.pdf","Open PDF")</f>
        <v/>
      </c>
    </row>
    <row r="10">
      <c r="A10" s="9" t="inlineStr">
        <is>
          <t>Witchcraft Paper</t>
        </is>
      </c>
      <c r="B10" s="10" t="inlineStr">
        <is>
          <t>20%</t>
        </is>
      </c>
      <c r="C10" s="10" t="inlineStr">
        <is>
          <t>2026-08-25</t>
        </is>
      </c>
      <c r="D10" s="10" t="inlineStr">
        <is>
          <t>2026-11-10</t>
        </is>
      </c>
      <c r="E10" s="10" t="inlineStr">
        <is>
          <t>No</t>
        </is>
      </c>
      <c r="F10" s="11">
        <f>HYPERLINK("https://raw.githubusercontent.com/vengeanceaiUSC/Syllabus-/cursor/add-syllabus-dissector-skill-a676/output/documents/hist-103-witchcraft-paper.pdf","Open PDF")</f>
        <v/>
      </c>
    </row>
    <row r="11">
      <c r="A11" s="6" t="inlineStr">
        <is>
          <t>Mid-term</t>
        </is>
      </c>
      <c r="B11" s="7" t="inlineStr">
        <is>
          <t>20%</t>
        </is>
      </c>
      <c r="C11" s="7" t="inlineStr">
        <is>
          <t>2026-08-25</t>
        </is>
      </c>
      <c r="D11" s="7" t="inlineStr">
        <is>
          <t>2026-10-09</t>
        </is>
      </c>
      <c r="E11" s="7" t="inlineStr">
        <is>
          <t>No</t>
        </is>
      </c>
      <c r="F11" s="8">
        <f>HYPERLINK("https://raw.githubusercontent.com/vengeanceaiUSC/Syllabus-/cursor/add-syllabus-dissector-skill-a676/output/documents/hist-103-mid-term.pdf","Open PDF")</f>
        <v/>
      </c>
    </row>
    <row r="12">
      <c r="A12" s="9" t="inlineStr">
        <is>
          <t>Final Exam</t>
        </is>
      </c>
      <c r="B12" s="10" t="inlineStr">
        <is>
          <t>20%</t>
        </is>
      </c>
      <c r="C12" s="10" t="inlineStr">
        <is>
          <t>2026-08-25</t>
        </is>
      </c>
      <c r="D12" s="10" t="inlineStr">
        <is>
          <t>2026-12-10</t>
        </is>
      </c>
      <c r="E12" s="10" t="inlineStr">
        <is>
          <t>No</t>
        </is>
      </c>
      <c r="F12" s="11">
        <f>HYPERLINK("https://raw.githubusercontent.com/vengeanceaiUSC/Syllabus-/cursor/add-syllabus-dissector-skill-a676/output/documents/hist-103-final-exam.pdf","Open PDF")</f>
        <v/>
      </c>
    </row>
    <row r="13">
      <c r="A13" s="6" t="inlineStr">
        <is>
          <t>Discussion Section</t>
        </is>
      </c>
      <c r="B13" s="7" t="inlineStr">
        <is>
          <t>15%</t>
        </is>
      </c>
      <c r="C13" s="7" t="inlineStr">
        <is>
          <t>2026-11-10</t>
        </is>
      </c>
      <c r="D13" s="7" t="inlineStr">
        <is>
          <t>2026-11-12</t>
        </is>
      </c>
      <c r="E13" s="7" t="inlineStr">
        <is>
          <t>Yes</t>
        </is>
      </c>
      <c r="F13" s="8">
        <f>HYPERLINK("https://raw.githubusercontent.com/vengeanceaiUSC/Syllabus-/cursor/add-syllabus-dissector-skill-a676/output/documents/hist-103-discussion-section.pdf","Open PDF")</f>
        <v/>
      </c>
    </row>
    <row r="14">
      <c r="A14" s="9" t="inlineStr">
        <is>
          <t>Identification Quizzes</t>
        </is>
      </c>
      <c r="B14" s="10" t="inlineStr">
        <is>
          <t>5%</t>
        </is>
      </c>
      <c r="C14" s="10" t="inlineStr">
        <is>
          <t>2026-08-25</t>
        </is>
      </c>
      <c r="D14" s="10" t="inlineStr">
        <is>
          <t>2026-12-10</t>
        </is>
      </c>
      <c r="E14" s="10" t="inlineStr">
        <is>
          <t>No</t>
        </is>
      </c>
      <c r="F14" s="11">
        <f>HYPERLINK("https://raw.githubusercontent.com/vengeanceaiUSC/Syllabus-/cursor/add-syllabus-dissector-skill-a676/output/documents/hist-103-identification-quizzes.pdf","Open PDF")</f>
        <v/>
      </c>
    </row>
    <row r="15">
      <c r="A15" s="6" t="inlineStr">
        <is>
          <t>Extra Credit</t>
        </is>
      </c>
      <c r="B15" s="7" t="inlineStr">
        <is>
          <t>—</t>
        </is>
      </c>
      <c r="C15" s="7" t="inlineStr"/>
      <c r="D15" s="7" t="inlineStr">
        <is>
          <t>2026-12-04</t>
        </is>
      </c>
      <c r="E15" s="7" t="inlineStr">
        <is>
          <t>No</t>
        </is>
      </c>
      <c r="F15" s="8">
        <f>HYPERLINK("https://raw.githubusercontent.com/vengeanceaiUSC/Syllabus-/cursor/add-syllabus-dissector-skill-a676/output/documents/hist-103-extra-credit.pdf","Open PDF")</f>
        <v/>
      </c>
    </row>
    <row r="16">
      <c r="A16" s="3" t="inlineStr">
        <is>
          <t>Total</t>
        </is>
      </c>
      <c r="B1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15" t="inlineStr">
        <is>
          <t>250 pts</t>
        </is>
      </c>
      <c r="C9" s="15" t="inlineStr"/>
      <c r="D9" s="15" t="inlineStr">
        <is>
          <t>2026-09-30</t>
        </is>
      </c>
      <c r="E9" s="15" t="inlineStr">
        <is>
          <t>No</t>
        </is>
      </c>
      <c r="F9" s="16">
        <f>HYPERLINK("https://raw.githubusercontent.com/vengeanceaiUSC/Syllabus-/cursor/add-syllabus-dissector-skill-a676/output/documents/buad-281-midterm-1.pdf","Open PDF")</f>
        <v/>
      </c>
    </row>
    <row r="10">
      <c r="A10" s="17" t="inlineStr">
        <is>
          <t>Midterm 2</t>
        </is>
      </c>
      <c r="B10" s="18" t="inlineStr">
        <is>
          <t>250 pts</t>
        </is>
      </c>
      <c r="C10" s="18" t="inlineStr"/>
      <c r="D10" s="18" t="inlineStr">
        <is>
          <t>2026-10-26</t>
        </is>
      </c>
      <c r="E10" s="18" t="inlineStr">
        <is>
          <t>No</t>
        </is>
      </c>
      <c r="F10" s="19">
        <f>HYPERLINK("https://raw.githubusercontent.com/vengeanceaiUSC/Syllabus-/cursor/add-syllabus-dissector-skill-a676/output/documents/buad-281-midterm-2.pdf","Open PDF")</f>
        <v/>
      </c>
    </row>
    <row r="11">
      <c r="A11" s="14" t="inlineStr">
        <is>
          <t>Final Exam</t>
        </is>
      </c>
      <c r="B11" s="15" t="inlineStr">
        <is>
          <t>250 pts</t>
        </is>
      </c>
      <c r="C11" s="15" t="inlineStr"/>
      <c r="D11" s="15" t="inlineStr">
        <is>
          <t>2026-12-16</t>
        </is>
      </c>
      <c r="E11" s="15" t="inlineStr">
        <is>
          <t>No</t>
        </is>
      </c>
      <c r="F11" s="16">
        <f>HYPERLINK("https://raw.githubusercontent.com/vengeanceaiUSC/Syllabus-/cursor/add-syllabus-dissector-skill-a676/output/documents/buad-281-final-exam.pdf","Open PDF")</f>
        <v/>
      </c>
    </row>
    <row r="12">
      <c r="A12" s="17" t="inlineStr">
        <is>
          <t>Homework</t>
        </is>
      </c>
      <c r="B12" s="18" t="inlineStr">
        <is>
          <t>170 pts</t>
        </is>
      </c>
      <c r="C12" s="18" t="inlineStr">
        <is>
          <t>2026-09-09</t>
        </is>
      </c>
      <c r="D12" s="18" t="inlineStr">
        <is>
          <t>2026-11-16</t>
        </is>
      </c>
      <c r="E12" s="18" t="inlineStr">
        <is>
          <t>No</t>
        </is>
      </c>
      <c r="F12" s="19">
        <f>HYPERLINK("https://raw.githubusercontent.com/vengeanceaiUSC/Syllabus-/cursor/add-syllabus-dissector-skill-a676/output/documents/buad-281-homework.pdf","Open PDF")</f>
        <v/>
      </c>
    </row>
    <row r="13">
      <c r="A13" s="14" t="inlineStr">
        <is>
          <t>LinkedIn Learning Excel Certification</t>
        </is>
      </c>
      <c r="B13" s="15" t="inlineStr">
        <is>
          <t>75 pts</t>
        </is>
      </c>
      <c r="C13" s="15" t="inlineStr">
        <is>
          <t>2026-09-23</t>
        </is>
      </c>
      <c r="D13" s="15" t="inlineStr">
        <is>
          <t>2026-12-02</t>
        </is>
      </c>
      <c r="E13" s="15" t="inlineStr">
        <is>
          <t>No</t>
        </is>
      </c>
      <c r="F13" s="16">
        <f>HYPERLINK("https://raw.githubusercontent.com/vengeanceaiUSC/Syllabus-/cursor/add-syllabus-dissector-skill-a676/output/documents/buad-281-linkedin-learning-excel-certification.pdf","Open PDF")</f>
        <v/>
      </c>
    </row>
    <row r="14">
      <c r="A14" s="17" t="inlineStr">
        <is>
          <t>Stukent Simternship</t>
        </is>
      </c>
      <c r="B14" s="18" t="inlineStr">
        <is>
          <t>75 pts</t>
        </is>
      </c>
      <c r="C14" s="18" t="inlineStr">
        <is>
          <t>2026-09-23</t>
        </is>
      </c>
      <c r="D14" s="18" t="inlineStr">
        <is>
          <t>2026-12-02</t>
        </is>
      </c>
      <c r="E14" s="18" t="inlineStr">
        <is>
          <t>No</t>
        </is>
      </c>
      <c r="F14" s="19">
        <f>HYPERLINK("https://raw.githubusercontent.com/vengeanceaiUSC/Syllabus-/cursor/add-syllabus-dissector-skill-a676/output/documents/buad-281-stukent-simternship.pdf","Open PDF")</f>
        <v/>
      </c>
    </row>
    <row r="15">
      <c r="A15" s="3" t="inlineStr">
        <is>
          <t>Total</t>
        </is>
      </c>
      <c r="B15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51" t="inlineStr">
        <is>
          <t>25%</t>
        </is>
      </c>
      <c r="C9" s="51" t="inlineStr">
        <is>
          <t>2026-08-24</t>
        </is>
      </c>
      <c r="D9" s="51" t="inlineStr">
        <is>
          <t>2026-12-09</t>
        </is>
      </c>
      <c r="E9" s="51" t="inlineStr">
        <is>
          <t>No</t>
        </is>
      </c>
      <c r="F9" s="52">
        <f>HYPERLINK("https://raw.githubusercontent.com/vengeanceaiUSC/Syllabus-/cursor/add-syllabus-dissector-skill-a676/output/documents/buad-304-final-exam.pdf","Open PDF")</f>
        <v/>
      </c>
    </row>
    <row r="10">
      <c r="A10" s="42" t="inlineStr">
        <is>
          <t xml:space="preserve">  ↳ Final Exam</t>
        </is>
      </c>
      <c r="B10" s="53" t="inlineStr"/>
      <c r="C10" s="53" t="inlineStr">
        <is>
          <t>2026-08-24</t>
        </is>
      </c>
      <c r="D10" s="53" t="inlineStr">
        <is>
          <t>2026-12-09</t>
        </is>
      </c>
      <c r="E10" s="53" t="inlineStr"/>
      <c r="F10" s="53" t="inlineStr">
        <is>
          <t>Course Schedule due date</t>
        </is>
      </c>
    </row>
    <row r="11">
      <c r="A11" s="25" t="inlineStr">
        <is>
          <t>Participation</t>
        </is>
      </c>
      <c r="B11" s="54" t="inlineStr">
        <is>
          <t>15%</t>
        </is>
      </c>
      <c r="C11" s="54" t="inlineStr">
        <is>
          <t>2026-08-24</t>
        </is>
      </c>
      <c r="D11" s="54" t="inlineStr">
        <is>
          <t>2026-12-04</t>
        </is>
      </c>
      <c r="E11" s="54" t="inlineStr">
        <is>
          <t>No</t>
        </is>
      </c>
      <c r="F11" s="55">
        <f>HYPERLINK("https://raw.githubusercontent.com/vengeanceaiUSC/Syllabus-/cursor/add-syllabus-dissector-skill-a676/output/documents/buad-304-participation.pdf","Open PDF")</f>
        <v/>
      </c>
    </row>
    <row r="12">
      <c r="A12" s="42" t="inlineStr">
        <is>
          <t xml:space="preserve">  ↳ Research: Setup deadline (registration, prescreening, contacts)</t>
        </is>
      </c>
      <c r="B12" s="53" t="inlineStr"/>
      <c r="C12" s="53" t="inlineStr"/>
      <c r="D12" s="53" t="inlineStr">
        <is>
          <t>2026-09-25</t>
        </is>
      </c>
      <c r="E12" s="53" t="inlineStr"/>
      <c r="F12" s="53" t="inlineStr">
        <is>
          <t>Research Participation Guide</t>
        </is>
      </c>
    </row>
    <row r="13">
      <c r="A13" s="42" t="inlineStr">
        <is>
          <t xml:space="preserve">  ↳ Research: Employee contact surveys sent</t>
        </is>
      </c>
      <c r="B13" s="53" t="inlineStr"/>
      <c r="C13" s="53" t="inlineStr"/>
      <c r="D13" s="53" t="inlineStr">
        <is>
          <t>2026-10-26</t>
        </is>
      </c>
      <c r="E13" s="53" t="inlineStr"/>
      <c r="F13" s="53" t="inlineStr">
        <is>
          <t>Research Participation Guide</t>
        </is>
      </c>
    </row>
    <row r="14">
      <c r="A14" s="42" t="inlineStr">
        <is>
          <t xml:space="preserve">  ↳ Research: Complete 2.0 research credits</t>
        </is>
      </c>
      <c r="B14" s="53" t="inlineStr"/>
      <c r="C14" s="53" t="inlineStr"/>
      <c r="D14" s="53" t="inlineStr">
        <is>
          <t>2026-12-04</t>
        </is>
      </c>
      <c r="E14" s="53" t="inlineStr"/>
      <c r="F14" s="53" t="inlineStr">
        <is>
          <t>Research Participation Guide</t>
        </is>
      </c>
    </row>
    <row r="15">
      <c r="A15" s="42" t="inlineStr">
        <is>
          <t xml:space="preserve">  ↳ Connect: Sharpen Companion</t>
        </is>
      </c>
      <c r="B15" s="53" t="inlineStr"/>
      <c r="C15" s="53" t="inlineStr">
        <is>
          <t>N/A</t>
        </is>
      </c>
      <c r="D15" s="53" t="inlineStr">
        <is>
          <t>2026-09-04</t>
        </is>
      </c>
      <c r="E15" s="53" t="inlineStr"/>
      <c r="F15" s="53" t="inlineStr">
        <is>
          <t>Brightspace Connect module</t>
        </is>
      </c>
    </row>
    <row r="16">
      <c r="A16" s="42" t="inlineStr">
        <is>
          <t xml:space="preserve">  ↳ Research: SONA registration opens</t>
        </is>
      </c>
      <c r="B16" s="53" t="inlineStr"/>
      <c r="C16" s="53" t="inlineStr">
        <is>
          <t>2026-08-24</t>
        </is>
      </c>
      <c r="D16" s="53" t="inlineStr"/>
      <c r="E16" s="53" t="inlineStr"/>
      <c r="F16" s="53" t="inlineStr">
        <is>
          <t>Research Participation Guide</t>
        </is>
      </c>
    </row>
    <row r="17">
      <c r="A17" s="42" t="inlineStr">
        <is>
          <t xml:space="preserve">  ↳ Connect: Self-Assessment 11.01 - What is my</t>
        </is>
      </c>
      <c r="B17" s="53" t="inlineStr"/>
      <c r="C17" s="53" t="inlineStr">
        <is>
          <t>2026-08-24</t>
        </is>
      </c>
      <c r="D17" s="53" t="inlineStr">
        <is>
          <t>2026-12-20</t>
        </is>
      </c>
      <c r="E17" s="53" t="inlineStr"/>
      <c r="F17" s="53" t="inlineStr">
        <is>
          <t>Assigned in class week of 2026-09-09; Connect window</t>
        </is>
      </c>
    </row>
    <row r="18">
      <c r="A18" s="42" t="inlineStr">
        <is>
          <t xml:space="preserve">  ↳ Connect: Self-Assessment 11.02 - What is my</t>
        </is>
      </c>
      <c r="B18" s="53" t="inlineStr"/>
      <c r="C18" s="53" t="inlineStr">
        <is>
          <t>2026-08-24</t>
        </is>
      </c>
      <c r="D18" s="53" t="inlineStr">
        <is>
          <t>2026-12-20</t>
        </is>
      </c>
      <c r="E18" s="53" t="inlineStr"/>
      <c r="F18" s="53" t="inlineStr">
        <is>
          <t>Assigned in class week of 2026-09-09; Connect window</t>
        </is>
      </c>
    </row>
    <row r="19">
      <c r="A19" s="42" t="inlineStr">
        <is>
          <t xml:space="preserve">  ↳ Connect: Self-Assessment 12.02 - Which influence</t>
        </is>
      </c>
      <c r="B19" s="53" t="inlineStr"/>
      <c r="C19" s="53" t="inlineStr">
        <is>
          <t>2026-08-24</t>
        </is>
      </c>
      <c r="D19" s="53" t="inlineStr">
        <is>
          <t>2026-12-20</t>
        </is>
      </c>
      <c r="E19" s="53" t="inlineStr"/>
      <c r="F19" s="53" t="inlineStr">
        <is>
          <t>Assigned in class week of 2026-08-24; Connect window</t>
        </is>
      </c>
    </row>
    <row r="20">
      <c r="A20" s="42" t="inlineStr">
        <is>
          <t xml:space="preserve">  ↳ Connect: Self-Assessment 3.01 - What is my Big thinking about your topics and</t>
        </is>
      </c>
      <c r="B20" s="53" t="inlineStr"/>
      <c r="C20" s="53" t="inlineStr">
        <is>
          <t>2026-08-24</t>
        </is>
      </c>
      <c r="D20" s="53" t="inlineStr">
        <is>
          <t>2026-12-20</t>
        </is>
      </c>
      <c r="E20" s="53" t="inlineStr"/>
      <c r="F20" s="53" t="inlineStr">
        <is>
          <t>Assigned in class week of 2026-08-31; Connect window</t>
        </is>
      </c>
    </row>
    <row r="21">
      <c r="A21" s="42" t="inlineStr">
        <is>
          <t xml:space="preserve">  ↳ Connect: Self-Assessment 3.04 - What Is Your Level</t>
        </is>
      </c>
      <c r="B21" s="53" t="inlineStr"/>
      <c r="C21" s="53" t="inlineStr">
        <is>
          <t>2026-08-24</t>
        </is>
      </c>
      <c r="D21" s="53" t="inlineStr">
        <is>
          <t>2026-12-20</t>
        </is>
      </c>
      <c r="E21" s="53" t="inlineStr"/>
      <c r="F21" s="53" t="inlineStr">
        <is>
          <t>Assigned in class week of 2026-08-31; Connect window</t>
        </is>
      </c>
    </row>
    <row r="22">
      <c r="A22" s="42" t="inlineStr">
        <is>
          <t xml:space="preserve">  ↳ Connect: Self-Assessment 5.01 - Assessing Your</t>
        </is>
      </c>
      <c r="B22" s="53" t="inlineStr"/>
      <c r="C22" s="53" t="inlineStr">
        <is>
          <t>2026-08-24</t>
        </is>
      </c>
      <c r="D22" s="53" t="inlineStr">
        <is>
          <t>2026-12-20</t>
        </is>
      </c>
      <c r="E22" s="53" t="inlineStr"/>
      <c r="F22" s="53" t="inlineStr">
        <is>
          <t>Assigned in class week of 2026-09-02; Connect window</t>
        </is>
      </c>
    </row>
    <row r="23">
      <c r="A23" s="42" t="inlineStr">
        <is>
          <t xml:space="preserve">  ↳ Research: Prescreening questionnaire opens</t>
        </is>
      </c>
      <c r="B23" s="53" t="inlineStr"/>
      <c r="C23" s="53" t="inlineStr">
        <is>
          <t>2026-09-11</t>
        </is>
      </c>
      <c r="D23" s="53" t="inlineStr"/>
      <c r="E23" s="53" t="inlineStr"/>
      <c r="F23" s="53" t="inlineStr">
        <is>
          <t>Research Participation Guide</t>
        </is>
      </c>
    </row>
    <row r="24">
      <c r="A24" s="42" t="inlineStr">
        <is>
          <t xml:space="preserve">  ↳ Research: Study invitations begin (after setup)</t>
        </is>
      </c>
      <c r="B24" s="53" t="inlineStr"/>
      <c r="C24" s="53" t="inlineStr">
        <is>
          <t>2026-09-26</t>
        </is>
      </c>
      <c r="D24" s="53" t="inlineStr"/>
      <c r="E24" s="53" t="inlineStr"/>
      <c r="F24" s="53" t="inlineStr">
        <is>
          <t>Research Participation Guide</t>
        </is>
      </c>
    </row>
    <row r="25">
      <c r="A25" s="22" t="inlineStr">
        <is>
          <t>Midterm Exam</t>
        </is>
      </c>
      <c r="B25" s="51" t="inlineStr">
        <is>
          <t>15%</t>
        </is>
      </c>
      <c r="C25" s="51" t="inlineStr">
        <is>
          <t>2026-08-24</t>
        </is>
      </c>
      <c r="D25" s="51" t="inlineStr">
        <is>
          <t>2026-10-14</t>
        </is>
      </c>
      <c r="E25" s="51" t="inlineStr">
        <is>
          <t>No</t>
        </is>
      </c>
      <c r="F25" s="52">
        <f>HYPERLINK("https://raw.githubusercontent.com/vengeanceaiUSC/Syllabus-/cursor/add-syllabus-dissector-skill-a676/output/documents/buad-304-midterm-exam.pdf","Open PDF")</f>
        <v/>
      </c>
    </row>
    <row r="26">
      <c r="A26" s="42" t="inlineStr">
        <is>
          <t xml:space="preserve">  ↳ Midterm Exam</t>
        </is>
      </c>
      <c r="B26" s="53" t="inlineStr"/>
      <c r="C26" s="53" t="inlineStr">
        <is>
          <t>2026-08-24</t>
        </is>
      </c>
      <c r="D26" s="53" t="inlineStr">
        <is>
          <t>2026-10-14</t>
        </is>
      </c>
      <c r="E26" s="53" t="inlineStr"/>
      <c r="F26" s="53" t="inlineStr">
        <is>
          <t>Course Schedule due date</t>
        </is>
      </c>
    </row>
    <row r="27">
      <c r="A27" s="25" t="inlineStr">
        <is>
          <t>Team Project Paper</t>
        </is>
      </c>
      <c r="B27" s="54" t="inlineStr">
        <is>
          <t>15%</t>
        </is>
      </c>
      <c r="C27" s="54" t="inlineStr">
        <is>
          <t>2026-08-31</t>
        </is>
      </c>
      <c r="D27" s="54" t="inlineStr">
        <is>
          <t>2026-11-09</t>
        </is>
      </c>
      <c r="E27" s="54" t="inlineStr">
        <is>
          <t>Yes</t>
        </is>
      </c>
      <c r="F27" s="55">
        <f>HYPERLINK("https://raw.githubusercontent.com/vengeanceaiUSC/Syllabus-/cursor/add-syllabus-dissector-skill-a676/output/documents/buad-304-team-project-paper.pdf","Open PDF")</f>
        <v/>
      </c>
    </row>
    <row r="28">
      <c r="A28" s="42" t="inlineStr">
        <is>
          <t xml:space="preserve">  ↳ Connect: Self-Assessment 14.02 - What Type of Organizational Culture Do I</t>
        </is>
      </c>
      <c r="B28" s="53" t="inlineStr"/>
      <c r="C28" s="53" t="inlineStr">
        <is>
          <t>2026-08-24</t>
        </is>
      </c>
      <c r="D28" s="53" t="inlineStr">
        <is>
          <t>2026-12-20</t>
        </is>
      </c>
      <c r="E28" s="53" t="inlineStr"/>
      <c r="F28" s="53" t="inlineStr">
        <is>
          <t>Assigned in class week of 2026-11-04; Connect window</t>
        </is>
      </c>
    </row>
    <row r="29">
      <c r="A29" s="42" t="inlineStr">
        <is>
          <t xml:space="preserve">  ↳ Connect: Self-Assessment 8.01 - Group</t>
        </is>
      </c>
      <c r="B29" s="53" t="inlineStr"/>
      <c r="C29" s="53" t="inlineStr">
        <is>
          <t>2026-08-24</t>
        </is>
      </c>
      <c r="D29" s="53" t="inlineStr">
        <is>
          <t>2026-12-20</t>
        </is>
      </c>
      <c r="E29" s="53" t="inlineStr"/>
      <c r="F29" s="53" t="inlineStr">
        <is>
          <t>Assigned in class week of 2026-10-19; Connect window</t>
        </is>
      </c>
    </row>
    <row r="30">
      <c r="A30" s="42" t="inlineStr">
        <is>
          <t xml:space="preserve">  ↳ Team project outline</t>
        </is>
      </c>
      <c r="B30" s="53" t="inlineStr"/>
      <c r="C30" s="53" t="inlineStr">
        <is>
          <t>2026-08-31</t>
        </is>
      </c>
      <c r="D30" s="53" t="inlineStr">
        <is>
          <t>2026-10-19</t>
        </is>
      </c>
      <c r="E30" s="53" t="inlineStr"/>
      <c r="F30" s="53" t="inlineStr">
        <is>
          <t>Course Schedule due date</t>
        </is>
      </c>
    </row>
    <row r="31">
      <c r="A31" s="42" t="inlineStr">
        <is>
          <t xml:space="preserve">  ↳ Team project paper</t>
        </is>
      </c>
      <c r="B31" s="53" t="inlineStr"/>
      <c r="C31" s="53" t="inlineStr">
        <is>
          <t>2026-08-31</t>
        </is>
      </c>
      <c r="D31" s="53" t="inlineStr">
        <is>
          <t>2026-11-09</t>
        </is>
      </c>
      <c r="E31" s="53" t="inlineStr"/>
      <c r="F31" s="53" t="inlineStr">
        <is>
          <t>Course Schedule due date</t>
        </is>
      </c>
    </row>
    <row r="32">
      <c r="A32" s="22" t="inlineStr">
        <is>
          <t>Final Reflection Paper</t>
        </is>
      </c>
      <c r="B32" s="51" t="inlineStr">
        <is>
          <t>10%</t>
        </is>
      </c>
      <c r="C32" s="51" t="inlineStr">
        <is>
          <t>2026-08-31</t>
        </is>
      </c>
      <c r="D32" s="51" t="inlineStr">
        <is>
          <t>2026-12-02</t>
        </is>
      </c>
      <c r="E32" s="51" t="inlineStr">
        <is>
          <t>No</t>
        </is>
      </c>
      <c r="F32" s="52">
        <f>HYPERLINK("https://raw.githubusercontent.com/vengeanceaiUSC/Syllabus-/cursor/add-syllabus-dissector-skill-a676/output/documents/buad-304-final-reflection-paper.pdf","Open PDF")</f>
        <v/>
      </c>
    </row>
    <row r="33">
      <c r="A33" s="42" t="inlineStr">
        <is>
          <t xml:space="preserve">  ↳ Connect: Self-Assessment 16.02 - What Is Your</t>
        </is>
      </c>
      <c r="B33" s="53" t="inlineStr"/>
      <c r="C33" s="53" t="inlineStr">
        <is>
          <t>2026-08-24</t>
        </is>
      </c>
      <c r="D33" s="53" t="inlineStr">
        <is>
          <t>2026-12-20</t>
        </is>
      </c>
      <c r="E33" s="53" t="inlineStr"/>
      <c r="F33" s="53" t="inlineStr">
        <is>
          <t>Assigned in class week of 2026-11-30; Connect window</t>
        </is>
      </c>
    </row>
    <row r="34">
      <c r="A34" s="42" t="inlineStr">
        <is>
          <t xml:space="preserve">  ↳ Connect: Self-Assessment 16.03 - Assessing Your</t>
        </is>
      </c>
      <c r="B34" s="53" t="inlineStr"/>
      <c r="C34" s="53" t="inlineStr">
        <is>
          <t>2026-08-24</t>
        </is>
      </c>
      <c r="D34" s="53" t="inlineStr">
        <is>
          <t>2026-12-20</t>
        </is>
      </c>
      <c r="E34" s="53" t="inlineStr"/>
      <c r="F34" s="53" t="inlineStr">
        <is>
          <t>Assigned in class week of 2026-11-30; Connect window</t>
        </is>
      </c>
    </row>
    <row r="35">
      <c r="A35" s="42" t="inlineStr">
        <is>
          <t xml:space="preserve">  ↳ Personal Reflection Paper</t>
        </is>
      </c>
      <c r="B35" s="53" t="inlineStr"/>
      <c r="C35" s="53" t="inlineStr">
        <is>
          <t>2026-08-31</t>
        </is>
      </c>
      <c r="D35" s="53" t="inlineStr">
        <is>
          <t>2026-12-02</t>
        </is>
      </c>
      <c r="E35" s="53" t="inlineStr"/>
      <c r="F35" s="53" t="inlineStr">
        <is>
          <t>Course Schedule due date</t>
        </is>
      </c>
    </row>
    <row r="36">
      <c r="A36" s="25" t="inlineStr">
        <is>
          <t>Presentation</t>
        </is>
      </c>
      <c r="B36" s="54" t="inlineStr">
        <is>
          <t>10%</t>
        </is>
      </c>
      <c r="C36" s="54" t="inlineStr">
        <is>
          <t>2026-08-31</t>
        </is>
      </c>
      <c r="D36" s="54" t="inlineStr">
        <is>
          <t>2026-11-09</t>
        </is>
      </c>
      <c r="E36" s="54" t="inlineStr">
        <is>
          <t>Yes</t>
        </is>
      </c>
      <c r="F36" s="55">
        <f>HYPERLINK("https://raw.githubusercontent.com/vengeanceaiUSC/Syllabus-/cursor/add-syllabus-dissector-skill-a676/output/documents/buad-304-presentation.pdf","Open PDF")</f>
        <v/>
      </c>
    </row>
    <row r="37">
      <c r="A37" s="42" t="inlineStr">
        <is>
          <t xml:space="preserve">  ↳ Presentation slides</t>
        </is>
      </c>
      <c r="B37" s="53" t="inlineStr"/>
      <c r="C37" s="53" t="inlineStr">
        <is>
          <t>2026-08-31</t>
        </is>
      </c>
      <c r="D37" s="53" t="inlineStr">
        <is>
          <t>2026-11-09</t>
        </is>
      </c>
      <c r="E37" s="53" t="inlineStr"/>
      <c r="F37" s="53" t="inlineStr">
        <is>
          <t>Course Schedule due date</t>
        </is>
      </c>
    </row>
    <row r="38">
      <c r="A38" s="22" t="inlineStr">
        <is>
          <t>Case Analysis Assignments</t>
        </is>
      </c>
      <c r="B38" s="51" t="inlineStr">
        <is>
          <t>5%</t>
        </is>
      </c>
      <c r="C38" s="51" t="inlineStr">
        <is>
          <t>2026-08-26</t>
        </is>
      </c>
      <c r="D38" s="51" t="inlineStr">
        <is>
          <t>2026-10-21</t>
        </is>
      </c>
      <c r="E38" s="51" t="inlineStr">
        <is>
          <t>No</t>
        </is>
      </c>
      <c r="F38" s="52">
        <f>HYPERLINK("https://raw.githubusercontent.com/vengeanceaiUSC/Syllabus-/cursor/add-syllabus-dissector-skill-a676/output/documents/buad-304-case-analysis-assignments.pdf","Open PDF")</f>
        <v/>
      </c>
    </row>
    <row r="39">
      <c r="A39" s="42" t="inlineStr">
        <is>
          <t xml:space="preserve">  ↳ Connect: Self-Assessment 12.01 - What kind of</t>
        </is>
      </c>
      <c r="B39" s="53" t="inlineStr"/>
      <c r="C39" s="53" t="inlineStr">
        <is>
          <t>2026-08-24</t>
        </is>
      </c>
      <c r="D39" s="53" t="inlineStr">
        <is>
          <t>2026-12-20</t>
        </is>
      </c>
      <c r="E39" s="53" t="inlineStr"/>
      <c r="F39" s="53" t="inlineStr">
        <is>
          <t>Assigned in class week of 2026-09-16; Connect window</t>
        </is>
      </c>
    </row>
    <row r="40">
      <c r="A40" s="42" t="inlineStr">
        <is>
          <t xml:space="preserve">  ↳ Thomas Green Case Analysis Memo</t>
        </is>
      </c>
      <c r="B40" s="53" t="inlineStr"/>
      <c r="C40" s="53" t="inlineStr">
        <is>
          <t>2026-08-26</t>
        </is>
      </c>
      <c r="D40" s="53" t="inlineStr">
        <is>
          <t>2026-09-16</t>
        </is>
      </c>
      <c r="E40" s="53" t="inlineStr"/>
      <c r="F40" s="53" t="inlineStr">
        <is>
          <t>Course Schedule due date</t>
        </is>
      </c>
    </row>
    <row r="41">
      <c r="A41" s="42" t="inlineStr">
        <is>
          <t xml:space="preserve">  ↳ SkillsForTomorrow Analysis Memo</t>
        </is>
      </c>
      <c r="B41" s="53" t="inlineStr"/>
      <c r="C41" s="53" t="inlineStr">
        <is>
          <t>2026-08-26</t>
        </is>
      </c>
      <c r="D41" s="53" t="inlineStr">
        <is>
          <t>2026-10-21</t>
        </is>
      </c>
      <c r="E41" s="53" t="inlineStr"/>
      <c r="F41" s="53" t="inlineStr">
        <is>
          <t>Course Schedule due date</t>
        </is>
      </c>
    </row>
    <row r="42">
      <c r="A42" s="25" t="inlineStr">
        <is>
          <t>Proposal &amp; Team Contract</t>
        </is>
      </c>
      <c r="B42" s="54" t="inlineStr">
        <is>
          <t>3%</t>
        </is>
      </c>
      <c r="C42" s="54" t="inlineStr">
        <is>
          <t>2026-08-31</t>
        </is>
      </c>
      <c r="D42" s="54" t="inlineStr">
        <is>
          <t>2026-09-28</t>
        </is>
      </c>
      <c r="E42" s="54" t="inlineStr">
        <is>
          <t>Yes</t>
        </is>
      </c>
      <c r="F42" s="55">
        <f>HYPERLINK("https://raw.githubusercontent.com/vengeanceaiUSC/Syllabus-/cursor/add-syllabus-dissector-skill-a676/output/documents/buad-304-proposal-team-contract.pdf","Open PDF")</f>
        <v/>
      </c>
    </row>
    <row r="43">
      <c r="A43" s="42" t="inlineStr">
        <is>
          <t xml:space="preserve">  ↳ Connect: Self-Assessment 10.5 - Preferred Conflict</t>
        </is>
      </c>
      <c r="B43" s="53" t="inlineStr"/>
      <c r="C43" s="53" t="inlineStr">
        <is>
          <t>2026-08-24</t>
        </is>
      </c>
      <c r="D43" s="53" t="inlineStr">
        <is>
          <t>2026-12-20</t>
        </is>
      </c>
      <c r="E43" s="53" t="inlineStr"/>
      <c r="F43" s="53" t="inlineStr">
        <is>
          <t>Assigned in class week of 2026-09-28; Connect window</t>
        </is>
      </c>
    </row>
    <row r="44">
      <c r="A44" s="42" t="inlineStr">
        <is>
          <t xml:space="preserve">  ↳ Connect: Self-Assessment 9.01 - Assessing My</t>
        </is>
      </c>
      <c r="B44" s="53" t="inlineStr"/>
      <c r="C44" s="53" t="inlineStr">
        <is>
          <t>2026-08-24</t>
        </is>
      </c>
      <c r="D44" s="53" t="inlineStr">
        <is>
          <t>2026-12-20</t>
        </is>
      </c>
      <c r="E44" s="53" t="inlineStr"/>
      <c r="F44" s="53" t="inlineStr">
        <is>
          <t>Assigned in class week of 2026-09-28; Connect window</t>
        </is>
      </c>
    </row>
    <row r="45">
      <c r="A45" s="42" t="inlineStr">
        <is>
          <t xml:space="preserve">  ↳ Team project proposal &amp; team contract</t>
        </is>
      </c>
      <c r="B45" s="53" t="inlineStr"/>
      <c r="C45" s="53" t="inlineStr">
        <is>
          <t>2026-08-31</t>
        </is>
      </c>
      <c r="D45" s="53" t="inlineStr">
        <is>
          <t>2026-09-28</t>
        </is>
      </c>
      <c r="E45" s="53" t="inlineStr"/>
      <c r="F45" s="53" t="inlineStr">
        <is>
          <t>Course Schedule due date</t>
        </is>
      </c>
    </row>
    <row r="46">
      <c r="A46" s="22" t="inlineStr">
        <is>
          <t>Self &amp; Peer Evaluation</t>
        </is>
      </c>
      <c r="B46" s="51" t="inlineStr">
        <is>
          <t>2%</t>
        </is>
      </c>
      <c r="C46" s="51" t="inlineStr">
        <is>
          <t>2026-08-31</t>
        </is>
      </c>
      <c r="D46" s="51" t="inlineStr">
        <is>
          <t>2026-11-18</t>
        </is>
      </c>
      <c r="E46" s="51" t="inlineStr">
        <is>
          <t>Yes</t>
        </is>
      </c>
      <c r="F46" s="52">
        <f>HYPERLINK("https://raw.githubusercontent.com/vengeanceaiUSC/Syllabus-/cursor/add-syllabus-dissector-skill-a676/output/documents/buad-304-self-peer-evaluation.pdf","Open PDF")</f>
        <v/>
      </c>
    </row>
    <row r="47">
      <c r="A47" s="42" t="inlineStr">
        <is>
          <t xml:space="preserve">  ↳ Self &amp; peer evaluation</t>
        </is>
      </c>
      <c r="B47" s="53" t="inlineStr"/>
      <c r="C47" s="53" t="inlineStr">
        <is>
          <t>2026-08-31</t>
        </is>
      </c>
      <c r="D47" s="53" t="inlineStr">
        <is>
          <t>2026-11-18</t>
        </is>
      </c>
      <c r="E47" s="53" t="inlineStr"/>
      <c r="F47" s="53" t="inlineStr">
        <is>
          <t>Course Schedule due date</t>
        </is>
      </c>
    </row>
    <row r="48">
      <c r="A48" s="3" t="inlineStr">
        <is>
          <t>Total</t>
        </is>
      </c>
      <c r="B4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2026-08-21T00:49:05Z</dcterms:modified>
</cp:coreProperties>
</file>