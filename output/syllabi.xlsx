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UAD-304" sheetId="2" state="visible" r:id="rId2"/>
    <sheet xmlns:r="http://schemas.openxmlformats.org/officeDocument/2006/relationships" name="BUAD-281" sheetId="3" state="visible" r:id="rId3"/>
    <sheet xmlns:r="http://schemas.openxmlformats.org/officeDocument/2006/relationships" name="HIST-10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  <font>
      <b val="1"/>
      <color rgb="00FFFFFF"/>
      <sz val="16"/>
    </font>
    <font>
      <i val="1"/>
    </font>
    <font>
      <b val="1"/>
      <color rgb="000563C1"/>
      <u val="single"/>
    </font>
    <font>
      <b val="1"/>
      <color rgb="001F4E79"/>
    </font>
    <font>
      <b val="1"/>
      <color rgb="00C65911"/>
    </font>
    <font>
      <b val="1"/>
      <color rgb="000070C0"/>
    </font>
    <font>
      <b val="1"/>
      <color rgb="007030A0"/>
    </font>
  </fonts>
  <fills count="27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  <fill>
      <patternFill patternType="solid">
        <fgColor rgb="00E2EFDA"/>
      </patternFill>
    </fill>
    <fill>
      <patternFill patternType="solid">
        <fgColor rgb="00203764"/>
      </patternFill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0" fillId="21" borderId="0" applyAlignment="1" pivotButton="0" quotePrefix="0" xfId="0">
      <alignment vertical="top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1" fillId="22" borderId="0" applyAlignment="1" pivotButton="0" quotePrefix="0" xfId="0">
      <alignment horizontal="left" vertical="center"/>
    </xf>
    <xf numFmtId="0" fontId="22" fillId="0" borderId="0" pivotButton="0" quotePrefix="0" xfId="0"/>
    <xf numFmtId="0" fontId="4" fillId="3" borderId="0" applyAlignment="1" pivotButton="0" quotePrefix="0" xfId="0">
      <alignment wrapText="1"/>
    </xf>
    <xf numFmtId="0" fontId="5" fillId="23" borderId="1" applyAlignment="1" pivotButton="0" quotePrefix="0" xfId="0">
      <alignment horizontal="center" vertical="center" wrapText="1"/>
    </xf>
    <xf numFmtId="0" fontId="23" fillId="24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23" fillId="25" borderId="1" applyAlignment="1" pivotButton="0" quotePrefix="0" xfId="0">
      <alignment vertical="top" wrapText="1"/>
    </xf>
    <xf numFmtId="0" fontId="0" fillId="25" borderId="1" applyAlignment="1" pivotButton="0" quotePrefix="0" xfId="0">
      <alignment vertical="top" wrapText="1"/>
    </xf>
    <xf numFmtId="0" fontId="3" fillId="26" borderId="0" pivotButton="0" quotePrefix="0" xfId="0"/>
    <xf numFmtId="0" fontId="5" fillId="23" borderId="1" pivotButton="0" quotePrefix="0" xfId="0"/>
    <xf numFmtId="0" fontId="24" fillId="24" borderId="1" applyAlignment="1" pivotButton="0" quotePrefix="0" xfId="0">
      <alignment vertical="top" wrapText="1"/>
    </xf>
    <xf numFmtId="0" fontId="24" fillId="25" borderId="1" applyAlignment="1" pivotButton="0" quotePrefix="0" xfId="0">
      <alignment vertical="top" wrapText="1"/>
    </xf>
    <xf numFmtId="0" fontId="25" fillId="25" borderId="1" applyAlignment="1" pivotButton="0" quotePrefix="0" xfId="0">
      <alignment vertical="top" wrapText="1"/>
    </xf>
    <xf numFmtId="0" fontId="25" fillId="24" borderId="1" applyAlignment="1" pivotButton="0" quotePrefix="0" xfId="0">
      <alignment vertical="top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6" fillId="24" borderId="1" applyAlignment="1" pivotButton="0" quotePrefix="0" xfId="0">
      <alignment vertical="top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7" fillId="25" borderId="1" applyAlignment="1" pivotButton="0" quotePrefix="0" xfId="0">
      <alignment vertical="top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3764"/>
    <outlinePr summaryBelow="1" summaryRight="1"/>
    <pageSetUpPr/>
  </sheetPr>
  <dimension ref="A1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8" customWidth="1" min="4" max="4"/>
    <col width="12" customWidth="1" min="5" max="5"/>
    <col width="32" customWidth="1" min="6" max="6"/>
    <col width="32" customWidth="1" min="7" max="7"/>
    <col width="12" customWidth="1" min="8" max="8"/>
    <col width="32" customWidth="1" min="9" max="9"/>
    <col width="12" customWidth="1" min="10" max="10"/>
  </cols>
  <sheetData>
    <row r="1" ht="28" customHeight="1">
      <c r="A1" s="230" t="inlineStr">
        <is>
          <t>Stats Breakdown</t>
        </is>
      </c>
    </row>
    <row r="2">
      <c r="A2" s="231" t="inlineStr">
        <is>
          <t>Term: Fall 2026</t>
        </is>
      </c>
    </row>
    <row r="3" ht="32" customHeight="1">
      <c r="A3" s="232" t="inlineStr">
        <is>
          <t>Start here: 2026-08-31 - BUAD-304 - Homework: Connect: Self-Assessment 3.01 - What is my Big thinking about your top</t>
        </is>
      </c>
    </row>
    <row r="5">
      <c r="A5" s="233" t="inlineStr">
        <is>
          <t>Class</t>
        </is>
      </c>
      <c r="B5" s="233" t="inlineStr">
        <is>
          <t>Reading</t>
        </is>
      </c>
      <c r="C5" s="233" t="inlineStr">
        <is>
          <t>Homework</t>
        </is>
      </c>
      <c r="D5" s="233" t="inlineStr">
        <is>
          <t>Papers</t>
        </is>
      </c>
      <c r="E5" s="233" t="inlineStr">
        <is>
          <t>Group Project</t>
        </is>
      </c>
      <c r="F5" s="233" t="inlineStr">
        <is>
          <t>External certs</t>
        </is>
      </c>
      <c r="G5" s="233" t="inlineStr">
        <is>
          <t>First assignment</t>
        </is>
      </c>
      <c r="H5" s="233" t="inlineStr">
        <is>
          <t>Assign due</t>
        </is>
      </c>
      <c r="I5" s="233" t="inlineStr">
        <is>
          <t>First major</t>
        </is>
      </c>
      <c r="J5" s="233" t="inlineStr">
        <is>
          <t>Major due</t>
        </is>
      </c>
    </row>
    <row r="6">
      <c r="A6" s="234">
        <f>HYPERLINK("#'BUAD-281'!A1","BUAD-281")</f>
        <v/>
      </c>
      <c r="B6" s="235" t="inlineStr">
        <is>
          <t>Yes</t>
        </is>
      </c>
      <c r="C6" s="235" t="inlineStr">
        <is>
          <t>Yes</t>
        </is>
      </c>
      <c r="D6" s="235" t="inlineStr">
        <is>
          <t>-</t>
        </is>
      </c>
      <c r="E6" s="235" t="inlineStr">
        <is>
          <t>-</t>
        </is>
      </c>
      <c r="F6" s="264" t="inlineStr">
        <is>
          <t>LinkedIn Learning Excel Certification, Stukent Simternship</t>
        </is>
      </c>
      <c r="G6" s="235" t="inlineStr">
        <is>
          <t>Class 5 (9/9) - 2-29, 2-30, 2-40; 15 Points</t>
        </is>
      </c>
      <c r="H6" s="235" t="inlineStr">
        <is>
          <t>2026-09-09</t>
        </is>
      </c>
      <c r="I6" s="235" t="inlineStr">
        <is>
          <t>Midterm 1</t>
        </is>
      </c>
      <c r="J6" s="235" t="inlineStr">
        <is>
          <t>2026-09-30</t>
        </is>
      </c>
    </row>
    <row r="7">
      <c r="A7" s="236">
        <f>HYPERLINK("#'BUAD-304'!A1","BUAD-304")</f>
        <v/>
      </c>
      <c r="B7" s="237" t="inlineStr">
        <is>
          <t>-</t>
        </is>
      </c>
      <c r="C7" s="237" t="inlineStr">
        <is>
          <t>Yes</t>
        </is>
      </c>
      <c r="D7" s="237" t="inlineStr">
        <is>
          <t>Final Reflection Paper, Team Project Paper</t>
        </is>
      </c>
      <c r="E7" s="237" t="inlineStr">
        <is>
          <t>Yes</t>
        </is>
      </c>
      <c r="F7" s="237" t="inlineStr">
        <is>
          <t>-</t>
        </is>
      </c>
      <c r="G7" s="237" t="inlineStr">
        <is>
          <t>Connect: Self-Assessment 3.01 - What is my Big thinking</t>
        </is>
      </c>
      <c r="H7" s="237" t="inlineStr">
        <is>
          <t>2026-08-31</t>
        </is>
      </c>
      <c r="I7" s="237" t="inlineStr">
        <is>
          <t>Thomas Green Case Analysis Memo</t>
        </is>
      </c>
      <c r="J7" s="237" t="inlineStr">
        <is>
          <t>2026-09-16</t>
        </is>
      </c>
    </row>
    <row r="8">
      <c r="A8" s="234">
        <f>HYPERLINK("#'HIST-103'!A1","HIST-103")</f>
        <v/>
      </c>
      <c r="B8" s="235" t="inlineStr">
        <is>
          <t>Yes</t>
        </is>
      </c>
      <c r="C8" s="235" t="inlineStr">
        <is>
          <t>-</t>
        </is>
      </c>
      <c r="D8" s="235" t="inlineStr">
        <is>
          <t>Sleep Paper, Witchcraft Paper</t>
        </is>
      </c>
      <c r="E8" s="235" t="inlineStr">
        <is>
          <t>Yes</t>
        </is>
      </c>
      <c r="F8" s="235" t="inlineStr">
        <is>
          <t>-</t>
        </is>
      </c>
      <c r="G8" s="235" t="inlineStr">
        <is>
          <t>Sleep Paper Due</t>
        </is>
      </c>
      <c r="H8" s="235" t="inlineStr">
        <is>
          <t>2026-09-15</t>
        </is>
      </c>
      <c r="I8" s="235" t="inlineStr">
        <is>
          <t>Sleep Paper</t>
        </is>
      </c>
      <c r="J8" s="235" t="inlineStr">
        <is>
          <t>2026-09-15</t>
        </is>
      </c>
    </row>
    <row r="10">
      <c r="A10" s="238" t="inlineStr">
        <is>
          <t>Do First - August 2026 (assignments only; first per class included)</t>
        </is>
      </c>
    </row>
    <row r="11">
      <c r="A11" s="239" t="inlineStr">
        <is>
          <t>Due</t>
        </is>
      </c>
      <c r="B11" s="239" t="inlineStr">
        <is>
          <t>Class</t>
        </is>
      </c>
      <c r="C11" s="239" t="inlineStr">
        <is>
          <t>Type</t>
        </is>
      </c>
      <c r="D11" s="239" t="inlineStr">
        <is>
          <t>Item</t>
        </is>
      </c>
    </row>
    <row r="12">
      <c r="A12" s="235" t="inlineStr">
        <is>
          <t>2026-08-31</t>
        </is>
      </c>
      <c r="B12" s="235" t="inlineStr">
        <is>
          <t>BUAD-304</t>
        </is>
      </c>
      <c r="C12" s="243" t="inlineStr">
        <is>
          <t>Homework</t>
        </is>
      </c>
      <c r="D12" s="235" t="inlineStr">
        <is>
          <t>Connect: Self-Assessment 3.01 - What is my Big thinking about your topics and</t>
        </is>
      </c>
    </row>
    <row r="13">
      <c r="A13" s="237" t="inlineStr">
        <is>
          <t>2026-08-31</t>
        </is>
      </c>
      <c r="B13" s="237" t="inlineStr">
        <is>
          <t>BUAD-304</t>
        </is>
      </c>
      <c r="C13" s="242" t="inlineStr">
        <is>
          <t>Homework</t>
        </is>
      </c>
      <c r="D13" s="237" t="inlineStr">
        <is>
          <t>Connect: Self-Assessment 3.04 - What Is Your Level</t>
        </is>
      </c>
    </row>
    <row r="14">
      <c r="A14" s="235" t="inlineStr">
        <is>
          <t>2026-09-09</t>
        </is>
      </c>
      <c r="B14" s="235" t="inlineStr">
        <is>
          <t>BUAD-281</t>
        </is>
      </c>
      <c r="C14" s="243" t="inlineStr">
        <is>
          <t>Homework</t>
        </is>
      </c>
      <c r="D14" s="235" t="inlineStr">
        <is>
          <t>Class 5 (9/9) - 2-29, 2-30, 2-40; 15 Points</t>
        </is>
      </c>
    </row>
    <row r="15">
      <c r="A15" s="237" t="inlineStr">
        <is>
          <t>2026-09-15</t>
        </is>
      </c>
      <c r="B15" s="237" t="inlineStr">
        <is>
          <t>HIST-103</t>
        </is>
      </c>
      <c r="C15" s="273" t="inlineStr">
        <is>
          <t>Assignment</t>
        </is>
      </c>
      <c r="D15" s="237" t="inlineStr">
        <is>
          <t>Sleep Paper Due</t>
        </is>
      </c>
    </row>
  </sheetData>
  <mergeCells count="4">
    <mergeCell ref="A10:J10"/>
    <mergeCell ref="A1:J1"/>
    <mergeCell ref="A3:J3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256" t="inlineStr">
        <is>
          <t>25%</t>
        </is>
      </c>
      <c r="C10" s="257" t="inlineStr">
        <is>
          <t>2026-08-24</t>
        </is>
      </c>
      <c r="D10" s="257" t="inlineStr">
        <is>
          <t>2026-12-09</t>
        </is>
      </c>
      <c r="E10" s="257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258" t="inlineStr"/>
      <c r="C11" s="258" t="inlineStr">
        <is>
          <t>2026-08-24</t>
        </is>
      </c>
      <c r="D11" s="258" t="inlineStr">
        <is>
          <t>2026-12-09</t>
        </is>
      </c>
      <c r="E11" s="258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256" t="inlineStr">
        <is>
          <t>15%</t>
        </is>
      </c>
      <c r="C12" s="259" t="inlineStr">
        <is>
          <t>2026-08-24</t>
        </is>
      </c>
      <c r="D12" s="259" t="inlineStr">
        <is>
          <t>2026-12-04</t>
        </is>
      </c>
      <c r="E12" s="259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258" t="inlineStr"/>
      <c r="C13" s="258" t="inlineStr">
        <is>
          <t>2026-08-24</t>
        </is>
      </c>
      <c r="D13" s="258" t="inlineStr"/>
      <c r="E13" s="258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258" t="inlineStr"/>
      <c r="C14" s="258" t="inlineStr">
        <is>
          <t>2026-09-11</t>
        </is>
      </c>
      <c r="D14" s="258" t="inlineStr"/>
      <c r="E14" s="258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258" t="inlineStr"/>
      <c r="C15" s="258" t="inlineStr"/>
      <c r="D15" s="258" t="inlineStr">
        <is>
          <t>2026-09-25</t>
        </is>
      </c>
      <c r="E15" s="258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258" t="inlineStr"/>
      <c r="C16" s="258" t="inlineStr">
        <is>
          <t>2026-09-26</t>
        </is>
      </c>
      <c r="D16" s="258" t="inlineStr"/>
      <c r="E16" s="258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258" t="inlineStr"/>
      <c r="C17" s="258" t="inlineStr"/>
      <c r="D17" s="258" t="inlineStr">
        <is>
          <t>2026-10-26</t>
        </is>
      </c>
      <c r="E17" s="258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258" t="inlineStr"/>
      <c r="C18" s="258" t="inlineStr"/>
      <c r="D18" s="258" t="inlineStr">
        <is>
          <t>2026-12-04</t>
        </is>
      </c>
      <c r="E18" s="258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256" t="inlineStr">
        <is>
          <t>15%</t>
        </is>
      </c>
      <c r="C19" s="257" t="inlineStr">
        <is>
          <t>2026-08-24</t>
        </is>
      </c>
      <c r="D19" s="257" t="inlineStr">
        <is>
          <t>2026-10-14</t>
        </is>
      </c>
      <c r="E19" s="257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258" t="inlineStr"/>
      <c r="C20" s="258" t="inlineStr">
        <is>
          <t>2026-08-24</t>
        </is>
      </c>
      <c r="D20" s="258" t="inlineStr">
        <is>
          <t>2026-10-14</t>
        </is>
      </c>
      <c r="E20" s="258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256" t="inlineStr">
        <is>
          <t>15%</t>
        </is>
      </c>
      <c r="C21" s="259" t="inlineStr">
        <is>
          <t>2026-08-31</t>
        </is>
      </c>
      <c r="D21" s="259" t="inlineStr">
        <is>
          <t>2026-11-09</t>
        </is>
      </c>
      <c r="E21" s="259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258" t="inlineStr"/>
      <c r="C22" s="258" t="inlineStr">
        <is>
          <t>2026-08-31</t>
        </is>
      </c>
      <c r="D22" s="258" t="inlineStr">
        <is>
          <t>2026-10-19</t>
        </is>
      </c>
      <c r="E22" s="258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258" t="inlineStr"/>
      <c r="C23" s="258" t="inlineStr">
        <is>
          <t>2026-08-31</t>
        </is>
      </c>
      <c r="D23" s="258" t="inlineStr">
        <is>
          <t>2026-11-09</t>
        </is>
      </c>
      <c r="E23" s="258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256" t="inlineStr">
        <is>
          <t>10%</t>
        </is>
      </c>
      <c r="C24" s="257" t="inlineStr">
        <is>
          <t>2026-08-31</t>
        </is>
      </c>
      <c r="D24" s="257" t="inlineStr">
        <is>
          <t>2026-12-02</t>
        </is>
      </c>
      <c r="E24" s="257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258" t="inlineStr"/>
      <c r="C25" s="258" t="inlineStr">
        <is>
          <t>2026-08-31</t>
        </is>
      </c>
      <c r="D25" s="258" t="inlineStr">
        <is>
          <t>2026-12-02</t>
        </is>
      </c>
      <c r="E25" s="258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256" t="inlineStr">
        <is>
          <t>10%</t>
        </is>
      </c>
      <c r="C26" s="259" t="inlineStr">
        <is>
          <t>2026-08-31</t>
        </is>
      </c>
      <c r="D26" s="259" t="inlineStr">
        <is>
          <t>2026-11-09</t>
        </is>
      </c>
      <c r="E26" s="259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258" t="inlineStr"/>
      <c r="C27" s="258" t="inlineStr">
        <is>
          <t>2026-08-31</t>
        </is>
      </c>
      <c r="D27" s="258" t="inlineStr">
        <is>
          <t>2026-11-09</t>
        </is>
      </c>
      <c r="E27" s="258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256" t="inlineStr">
        <is>
          <t>5%</t>
        </is>
      </c>
      <c r="C28" s="257" t="inlineStr">
        <is>
          <t>2026-08-26</t>
        </is>
      </c>
      <c r="D28" s="257" t="inlineStr">
        <is>
          <t>2026-10-21</t>
        </is>
      </c>
      <c r="E28" s="257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258" t="inlineStr"/>
      <c r="C29" s="258" t="inlineStr">
        <is>
          <t>2026-08-26</t>
        </is>
      </c>
      <c r="D29" s="258" t="inlineStr">
        <is>
          <t>2026-09-16</t>
        </is>
      </c>
      <c r="E29" s="258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258" t="inlineStr"/>
      <c r="C30" s="258" t="inlineStr">
        <is>
          <t>2026-08-26</t>
        </is>
      </c>
      <c r="D30" s="258" t="inlineStr">
        <is>
          <t>2026-10-21</t>
        </is>
      </c>
      <c r="E30" s="258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256" t="inlineStr">
        <is>
          <t>3%</t>
        </is>
      </c>
      <c r="C31" s="259" t="inlineStr">
        <is>
          <t>2026-08-31</t>
        </is>
      </c>
      <c r="D31" s="259" t="inlineStr">
        <is>
          <t>2026-09-28</t>
        </is>
      </c>
      <c r="E31" s="259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258" t="inlineStr"/>
      <c r="C32" s="258" t="inlineStr">
        <is>
          <t>2026-08-31</t>
        </is>
      </c>
      <c r="D32" s="258" t="inlineStr">
        <is>
          <t>2026-09-28</t>
        </is>
      </c>
      <c r="E32" s="258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256" t="inlineStr">
        <is>
          <t>2%</t>
        </is>
      </c>
      <c r="C33" s="257" t="inlineStr">
        <is>
          <t>2026-08-31</t>
        </is>
      </c>
      <c r="D33" s="257" t="inlineStr">
        <is>
          <t>2026-11-18</t>
        </is>
      </c>
      <c r="E33" s="257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258" t="inlineStr"/>
      <c r="C34" s="258" t="inlineStr">
        <is>
          <t>2026-08-31</t>
        </is>
      </c>
      <c r="D34" s="258" t="inlineStr">
        <is>
          <t>2026-11-18</t>
        </is>
      </c>
      <c r="E34" s="258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256" t="inlineStr">
        <is>
          <t>—</t>
        </is>
      </c>
      <c r="C35" s="259" t="inlineStr"/>
      <c r="D35" s="259" t="inlineStr">
        <is>
          <t>2026-12-20</t>
        </is>
      </c>
      <c r="E35" s="259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258" t="inlineStr"/>
      <c r="C36" s="258" t="inlineStr"/>
      <c r="D36" s="258" t="inlineStr">
        <is>
          <t>2026-08-31</t>
        </is>
      </c>
      <c r="E36" s="258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258" t="inlineStr"/>
      <c r="C37" s="258" t="inlineStr"/>
      <c r="D37" s="258" t="inlineStr">
        <is>
          <t>2026-08-31</t>
        </is>
      </c>
      <c r="E37" s="258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258" t="inlineStr"/>
      <c r="C38" s="258" t="inlineStr"/>
      <c r="D38" s="258" t="inlineStr">
        <is>
          <t>2026-09-02</t>
        </is>
      </c>
      <c r="E38" s="258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258" t="inlineStr"/>
      <c r="C39" s="258" t="inlineStr"/>
      <c r="D39" s="258" t="inlineStr">
        <is>
          <t>2026-09-04</t>
        </is>
      </c>
      <c r="E39" s="258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258" t="inlineStr"/>
      <c r="C40" s="258" t="inlineStr"/>
      <c r="D40" s="258" t="inlineStr">
        <is>
          <t>2026-09-09</t>
        </is>
      </c>
      <c r="E40" s="258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258" t="inlineStr"/>
      <c r="C41" s="258" t="inlineStr"/>
      <c r="D41" s="258" t="inlineStr">
        <is>
          <t>2026-09-09</t>
        </is>
      </c>
      <c r="E41" s="258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258" t="inlineStr"/>
      <c r="C42" s="258" t="inlineStr"/>
      <c r="D42" s="258" t="inlineStr">
        <is>
          <t>2026-09-16</t>
        </is>
      </c>
      <c r="E42" s="258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258" t="inlineStr"/>
      <c r="C43" s="258" t="inlineStr"/>
      <c r="D43" s="258" t="inlineStr">
        <is>
          <t>2026-09-28</t>
        </is>
      </c>
      <c r="E43" s="258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258" t="inlineStr"/>
      <c r="C44" s="258" t="inlineStr"/>
      <c r="D44" s="258" t="inlineStr">
        <is>
          <t>2026-09-28</t>
        </is>
      </c>
      <c r="E44" s="258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258" t="inlineStr"/>
      <c r="C45" s="258" t="inlineStr"/>
      <c r="D45" s="258" t="inlineStr">
        <is>
          <t>2026-10-19</t>
        </is>
      </c>
      <c r="E45" s="258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258" t="inlineStr"/>
      <c r="C46" s="258" t="inlineStr"/>
      <c r="D46" s="258" t="inlineStr">
        <is>
          <t>2026-11-04</t>
        </is>
      </c>
      <c r="E46" s="258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258" t="inlineStr"/>
      <c r="C47" s="258" t="inlineStr"/>
      <c r="D47" s="258" t="inlineStr">
        <is>
          <t>2026-11-30</t>
        </is>
      </c>
      <c r="E47" s="258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258" t="inlineStr"/>
      <c r="C48" s="258" t="inlineStr"/>
      <c r="D48" s="258" t="inlineStr">
        <is>
          <t>2026-11-30</t>
        </is>
      </c>
      <c r="E48" s="258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258" t="inlineStr"/>
      <c r="C49" s="258" t="inlineStr"/>
      <c r="D49" s="258" t="inlineStr">
        <is>
          <t>2026-12-20</t>
        </is>
      </c>
      <c r="E49" s="258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7F0E"/>
    <outlinePr summaryBelow="1" summaryRight="1"/>
    <pageSetUpPr/>
  </sheetPr>
  <dimension ref="A1:F4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8" ht="48" customHeight="1">
      <c r="A8" s="3" t="inlineStr">
        <is>
          <t>Strategy</t>
        </is>
      </c>
      <c r="B8" s="225" t="inlineStr">
        <is>
          <t>If your AI tool breaks down and solves the homework bank problems - extracting step-by-step mechanics from the textbook - mastering those exact mechanics is all you need to get an A without reading prose.</t>
        </is>
      </c>
    </row>
    <row r="10">
      <c r="A10" s="13" t="inlineStr">
        <is>
          <t>Category</t>
        </is>
      </c>
      <c r="B10" s="13" t="inlineStr">
        <is>
          <t>Weight</t>
        </is>
      </c>
      <c r="C10" s="13" t="inlineStr">
        <is>
          <t>Start Date</t>
        </is>
      </c>
      <c r="D10" s="13" t="inlineStr">
        <is>
          <t>Due Date</t>
        </is>
      </c>
      <c r="E10" s="13" t="inlineStr">
        <is>
          <t>Group Project</t>
        </is>
      </c>
      <c r="F10" s="13" t="inlineStr">
        <is>
          <t>Details</t>
        </is>
      </c>
    </row>
    <row r="11">
      <c r="A11" s="106" t="inlineStr">
        <is>
          <t>Midterm 1</t>
        </is>
      </c>
      <c r="B11" s="269" t="inlineStr">
        <is>
          <t>250 pts</t>
        </is>
      </c>
      <c r="C11" s="270" t="inlineStr"/>
      <c r="D11" s="270" t="inlineStr">
        <is>
          <t>2026-09-30</t>
        </is>
      </c>
      <c r="E11" s="270" t="inlineStr">
        <is>
          <t>No</t>
        </is>
      </c>
      <c r="F11" s="109">
        <f>HYPERLINK("https://raw.githubusercontent.com/vengeanceaiUSC/Syllabus-/cursor/add-syllabus-dissector-skill-a676/output/documents/buad-281-midterm-1.pdf","Open PDF")</f>
        <v/>
      </c>
    </row>
    <row r="12">
      <c r="A12" s="110" t="inlineStr">
        <is>
          <t>Exam</t>
        </is>
      </c>
      <c r="B12" s="271" t="inlineStr"/>
      <c r="C12" s="271" t="inlineStr"/>
      <c r="D12" s="271" t="inlineStr">
        <is>
          <t>2026-09-30</t>
        </is>
      </c>
      <c r="E12" s="271" t="inlineStr"/>
      <c r="F12" s="112" t="inlineStr">
        <is>
          <t>9/30 Midterm 1: 250 Points Chapters 1, 2, 3, 4, 5, 8</t>
        </is>
      </c>
    </row>
    <row r="13">
      <c r="A13" s="113" t="inlineStr">
        <is>
          <t>Midterm 2</t>
        </is>
      </c>
      <c r="B13" s="269" t="inlineStr">
        <is>
          <t>250 pts</t>
        </is>
      </c>
      <c r="C13" s="272" t="inlineStr"/>
      <c r="D13" s="272" t="inlineStr">
        <is>
          <t>2026-10-26</t>
        </is>
      </c>
      <c r="E13" s="272" t="inlineStr">
        <is>
          <t>No</t>
        </is>
      </c>
      <c r="F13" s="115">
        <f>HYPERLINK("https://raw.githubusercontent.com/vengeanceaiUSC/Syllabus-/cursor/add-syllabus-dissector-skill-a676/output/documents/buad-281-midterm-2.pdf","Open PDF")</f>
        <v/>
      </c>
    </row>
    <row r="14">
      <c r="A14" s="110" t="inlineStr">
        <is>
          <t>Exam</t>
        </is>
      </c>
      <c r="B14" s="271" t="inlineStr"/>
      <c r="C14" s="271" t="inlineStr"/>
      <c r="D14" s="271" t="inlineStr">
        <is>
          <t>2026-10-26</t>
        </is>
      </c>
      <c r="E14" s="271" t="inlineStr"/>
      <c r="F14" s="112" t="inlineStr">
        <is>
          <t>10/26 Midterm 2: 250 Points Chapters 6, 7, 9, &amp; 16</t>
        </is>
      </c>
    </row>
    <row r="15">
      <c r="A15" s="106" t="inlineStr">
        <is>
          <t>Final Exam</t>
        </is>
      </c>
      <c r="B15" s="269" t="inlineStr">
        <is>
          <t>250 pts</t>
        </is>
      </c>
      <c r="C15" s="270" t="inlineStr"/>
      <c r="D15" s="270" t="inlineStr">
        <is>
          <t>2026-12-16</t>
        </is>
      </c>
      <c r="E15" s="270" t="inlineStr">
        <is>
          <t>No</t>
        </is>
      </c>
      <c r="F15" s="109">
        <f>HYPERLINK("https://raw.githubusercontent.com/vengeanceaiUSC/Syllabus-/cursor/add-syllabus-dissector-skill-a676/output/documents/buad-281-final-exam.pdf","Open PDF")</f>
        <v/>
      </c>
    </row>
    <row r="16">
      <c r="A16" s="110" t="inlineStr">
        <is>
          <t>Exam</t>
        </is>
      </c>
      <c r="B16" s="271" t="inlineStr"/>
      <c r="C16" s="271" t="inlineStr"/>
      <c r="D16" s="271" t="inlineStr">
        <is>
          <t>2026-12-16</t>
        </is>
      </c>
      <c r="E16" s="271" t="inlineStr"/>
      <c r="F16" s="112" t="inlineStr">
        <is>
          <t>Final Exam</t>
        </is>
      </c>
    </row>
    <row r="17">
      <c r="A17" s="113" t="inlineStr">
        <is>
          <t>Homework</t>
        </is>
      </c>
      <c r="B17" s="269" t="inlineStr">
        <is>
          <t>170 pts</t>
        </is>
      </c>
      <c r="C17" s="272" t="inlineStr"/>
      <c r="D17" s="272" t="inlineStr">
        <is>
          <t>2026-12-02</t>
        </is>
      </c>
      <c r="E17" s="272" t="inlineStr">
        <is>
          <t>No</t>
        </is>
      </c>
      <c r="F17" s="115">
        <f>HYPERLINK("https://raw.githubusercontent.com/vengeanceaiUSC/Syllabus-/cursor/add-syllabus-dissector-skill-a676/output/documents/buad-281-homework.pdf","Open PDF")</f>
        <v/>
      </c>
    </row>
    <row r="18">
      <c r="A18" s="116" t="inlineStr">
        <is>
          <t>Reading</t>
        </is>
      </c>
      <c r="B18" s="271" t="inlineStr"/>
      <c r="C18" s="271" t="inlineStr"/>
      <c r="D18" s="271" t="inlineStr">
        <is>
          <t>2026-09-09</t>
        </is>
      </c>
      <c r="E18" s="271" t="inlineStr"/>
      <c r="F18" s="112" t="inlineStr">
        <is>
          <t>Class 5 (9/9) - Product Cost Accumulation: Job; Order Co: Chapter 3</t>
        </is>
      </c>
    </row>
    <row r="19">
      <c r="A19" s="117" t="inlineStr">
        <is>
          <t>Homework</t>
        </is>
      </c>
      <c r="B19" s="271" t="inlineStr"/>
      <c r="C19" s="271" t="inlineStr"/>
      <c r="D19" s="271" t="inlineStr">
        <is>
          <t>2026-09-09</t>
        </is>
      </c>
      <c r="E19" s="271" t="inlineStr"/>
      <c r="F19" s="112" t="inlineStr">
        <is>
          <t>Class 5 (9/9) - 2-29, 2-30, 2-40; 15 Points</t>
        </is>
      </c>
    </row>
    <row r="20">
      <c r="A20" s="116" t="inlineStr">
        <is>
          <t>Reading</t>
        </is>
      </c>
      <c r="B20" s="271" t="inlineStr"/>
      <c r="C20" s="271" t="inlineStr"/>
      <c r="D20" s="271" t="inlineStr">
        <is>
          <t>2026-09-16</t>
        </is>
      </c>
      <c r="E20" s="271" t="inlineStr"/>
      <c r="F20" s="112" t="inlineStr">
        <is>
          <t>Class 7 (9/16) - Activity Based Costing: Chapter 5- ONLY; LO 5.1, 2, 4 &amp; 5</t>
        </is>
      </c>
    </row>
    <row r="21">
      <c r="A21" s="117" t="inlineStr">
        <is>
          <t>Homework</t>
        </is>
      </c>
      <c r="B21" s="271" t="inlineStr"/>
      <c r="C21" s="271" t="inlineStr"/>
      <c r="D21" s="271" t="inlineStr">
        <is>
          <t>2026-09-16</t>
        </is>
      </c>
      <c r="E21" s="271" t="inlineStr"/>
      <c r="F21" s="112" t="inlineStr">
        <is>
          <t>Class 7 (9/16) - 3-24, 3-28, 3-32; 15 Points</t>
        </is>
      </c>
    </row>
    <row r="22">
      <c r="A22" s="116" t="inlineStr">
        <is>
          <t>Reading</t>
        </is>
      </c>
      <c r="B22" s="271" t="inlineStr"/>
      <c r="C22" s="271" t="inlineStr"/>
      <c r="D22" s="271" t="inlineStr">
        <is>
          <t>2026-09-21</t>
        </is>
      </c>
      <c r="E22" s="271" t="inlineStr"/>
      <c r="F22" s="112" t="inlineStr">
        <is>
          <t>Class 8 (9/21) - Product Cost Accumulation: Pro-; cess Co: Chapter 4- ONLY; LO 4.1, 3, 4, &amp; 5</t>
        </is>
      </c>
    </row>
    <row r="23">
      <c r="A23" s="117" t="inlineStr">
        <is>
          <t>Homework</t>
        </is>
      </c>
      <c r="B23" s="271" t="inlineStr"/>
      <c r="C23" s="271" t="inlineStr"/>
      <c r="D23" s="271" t="inlineStr">
        <is>
          <t>2026-09-21</t>
        </is>
      </c>
      <c r="E23" s="271" t="inlineStr"/>
      <c r="F23" s="112" t="inlineStr">
        <is>
          <t>Class 8 (9/21) - 5-27 5-46; 10 Points</t>
        </is>
      </c>
    </row>
    <row r="24">
      <c r="A24" s="116" t="inlineStr">
        <is>
          <t>Reading</t>
        </is>
      </c>
      <c r="B24" s="271" t="inlineStr"/>
      <c r="C24" s="271" t="inlineStr"/>
      <c r="D24" s="271" t="inlineStr">
        <is>
          <t>2026-09-23</t>
        </is>
      </c>
      <c r="E24" s="271" t="inlineStr"/>
      <c r="F24" s="112" t="inlineStr">
        <is>
          <t>Class 9 (9/23) - Cost of Quality &amp; ESG &amp;; Overview of; • : Chapter 8 - ONLY; LO 8.7, 8, 9</t>
        </is>
      </c>
    </row>
    <row r="25">
      <c r="A25" s="117" t="inlineStr">
        <is>
          <t>Homework</t>
        </is>
      </c>
      <c r="B25" s="271" t="inlineStr"/>
      <c r="C25" s="271" t="inlineStr"/>
      <c r="D25" s="271" t="inlineStr">
        <is>
          <t>2026-09-23</t>
        </is>
      </c>
      <c r="E25" s="271" t="inlineStr"/>
      <c r="F25" s="112" t="inlineStr">
        <is>
          <t>Class 9 (9/23) - 4-21, 4-22; 10 Points</t>
        </is>
      </c>
    </row>
    <row r="26">
      <c r="A26" s="116" t="inlineStr">
        <is>
          <t>Reading</t>
        </is>
      </c>
      <c r="B26" s="271" t="inlineStr"/>
      <c r="C26" s="271" t="inlineStr"/>
      <c r="D26" s="271" t="inlineStr">
        <is>
          <t>2026-09-28</t>
        </is>
      </c>
      <c r="E26" s="271" t="inlineStr"/>
      <c r="F26" s="112" t="inlineStr">
        <is>
          <t>Class 10 (9/28) - Catchup &amp; Midterm Review</t>
        </is>
      </c>
    </row>
    <row r="27">
      <c r="A27" s="117" t="inlineStr">
        <is>
          <t>Homework</t>
        </is>
      </c>
      <c r="B27" s="271" t="inlineStr"/>
      <c r="C27" s="271" t="inlineStr"/>
      <c r="D27" s="271" t="inlineStr">
        <is>
          <t>2026-09-28</t>
        </is>
      </c>
      <c r="E27" s="271" t="inlineStr"/>
      <c r="F27" s="112" t="inlineStr">
        <is>
          <t>Class 10 (9/28) - 8-28, 8-29; 10 Points</t>
        </is>
      </c>
    </row>
    <row r="28">
      <c r="A28" s="116" t="inlineStr">
        <is>
          <t>Reading</t>
        </is>
      </c>
      <c r="B28" s="271" t="inlineStr"/>
      <c r="C28" s="271" t="inlineStr"/>
      <c r="D28" s="271" t="inlineStr">
        <is>
          <t>2026-10-07</t>
        </is>
      </c>
      <c r="E28" s="271" t="inlineStr"/>
      <c r="F28" s="112" t="inlineStr">
        <is>
          <t>Class 12 (10/7) - Cost volume profit analysis: Chapter 7</t>
        </is>
      </c>
    </row>
    <row r="29">
      <c r="A29" s="117" t="inlineStr">
        <is>
          <t>Homework</t>
        </is>
      </c>
      <c r="B29" s="271" t="inlineStr"/>
      <c r="C29" s="271" t="inlineStr"/>
      <c r="D29" s="271" t="inlineStr">
        <is>
          <t>2026-10-07</t>
        </is>
      </c>
      <c r="E29" s="271" t="inlineStr"/>
      <c r="F29" s="112" t="inlineStr">
        <is>
          <t>Class 12 (10/7) - 6-24, 6-25, 6-34; 15 Points</t>
        </is>
      </c>
    </row>
    <row r="30">
      <c r="A30" s="116" t="inlineStr">
        <is>
          <t>Reading</t>
        </is>
      </c>
      <c r="B30" s="271" t="inlineStr"/>
      <c r="C30" s="271" t="inlineStr"/>
      <c r="D30" s="271" t="inlineStr">
        <is>
          <t>2026-10-14</t>
        </is>
      </c>
      <c r="E30" s="271" t="inlineStr"/>
      <c r="F30" s="112" t="inlineStr">
        <is>
          <t>Class 14 (10/14) - Financial planning and analysis:; Static: Chapter 9</t>
        </is>
      </c>
    </row>
    <row r="31">
      <c r="A31" s="117" t="inlineStr">
        <is>
          <t>Homework</t>
        </is>
      </c>
      <c r="B31" s="271" t="inlineStr"/>
      <c r="C31" s="271" t="inlineStr"/>
      <c r="D31" s="271" t="inlineStr">
        <is>
          <t>2026-10-14</t>
        </is>
      </c>
      <c r="E31" s="271" t="inlineStr"/>
      <c r="F31" s="112" t="inlineStr">
        <is>
          <t>Class 14 (10/14) - 7-29, 7-33, 7-40; 15 Points</t>
        </is>
      </c>
    </row>
    <row r="32">
      <c r="A32" s="116" t="inlineStr">
        <is>
          <t>Reading</t>
        </is>
      </c>
      <c r="B32" s="271" t="inlineStr"/>
      <c r="C32" s="271" t="inlineStr"/>
      <c r="D32" s="271" t="inlineStr">
        <is>
          <t>2026-10-19</t>
        </is>
      </c>
      <c r="E32" s="271" t="inlineStr"/>
      <c r="F32" s="112" t="inlineStr">
        <is>
          <t>Class 15 (10/19) - Capital Budgeting; Practice Midterm Ques: Chapter 16- ONLY; LO 16.1, 2, 3</t>
        </is>
      </c>
    </row>
    <row r="33">
      <c r="A33" s="117" t="inlineStr">
        <is>
          <t>Homework</t>
        </is>
      </c>
      <c r="B33" s="271" t="inlineStr"/>
      <c r="C33" s="271" t="inlineStr"/>
      <c r="D33" s="271" t="inlineStr">
        <is>
          <t>2026-10-19</t>
        </is>
      </c>
      <c r="E33" s="271" t="inlineStr"/>
      <c r="F33" s="112" t="inlineStr">
        <is>
          <t>Class 15 (10/19) - 9-25, 9-28, 9-37; 15 - Points</t>
        </is>
      </c>
    </row>
    <row r="34">
      <c r="A34" s="116" t="inlineStr">
        <is>
          <t>Reading</t>
        </is>
      </c>
      <c r="B34" s="271" t="inlineStr"/>
      <c r="C34" s="271" t="inlineStr"/>
      <c r="D34" s="271" t="inlineStr">
        <is>
          <t>2026-10-21</t>
        </is>
      </c>
      <c r="E34" s="271" t="inlineStr"/>
      <c r="F34" s="112" t="inlineStr">
        <is>
          <t>Class 16 (10/21) - Catchup &amp; Midterm Review</t>
        </is>
      </c>
    </row>
    <row r="35">
      <c r="A35" s="117" t="inlineStr">
        <is>
          <t>Homework</t>
        </is>
      </c>
      <c r="B35" s="271" t="inlineStr"/>
      <c r="C35" s="271" t="inlineStr"/>
      <c r="D35" s="271" t="inlineStr">
        <is>
          <t>2026-10-21</t>
        </is>
      </c>
      <c r="E35" s="271" t="inlineStr"/>
      <c r="F35" s="112" t="inlineStr">
        <is>
          <t>Class 16 (10/21) - 16-28, 16-40; 10 Points</t>
        </is>
      </c>
    </row>
    <row r="36">
      <c r="A36" s="116" t="inlineStr">
        <is>
          <t>Reading</t>
        </is>
      </c>
      <c r="B36" s="271" t="inlineStr"/>
      <c r="C36" s="271" t="inlineStr"/>
      <c r="D36" s="271" t="inlineStr">
        <is>
          <t>2026-11-04</t>
        </is>
      </c>
      <c r="E36" s="271" t="inlineStr"/>
      <c r="F36" s="112" t="inlineStr">
        <is>
          <t>Class 19 (11/4) - Sales Variance Analysis; Flexible Budget: Chapter 11 - ONLY; LO 11.1, 11.2 &amp;; Appendix B</t>
        </is>
      </c>
    </row>
    <row r="37">
      <c r="A37" s="117" t="inlineStr">
        <is>
          <t>Homework</t>
        </is>
      </c>
      <c r="B37" s="271" t="inlineStr"/>
      <c r="C37" s="271" t="inlineStr"/>
      <c r="D37" s="271" t="inlineStr">
        <is>
          <t>2026-11-04</t>
        </is>
      </c>
      <c r="E37" s="271" t="inlineStr"/>
      <c r="F37" s="112" t="inlineStr">
        <is>
          <t>Class 19 (11/4) - 10-26, 10-30; 10 Points</t>
        </is>
      </c>
    </row>
    <row r="38">
      <c r="A38" s="116" t="inlineStr">
        <is>
          <t>Reading</t>
        </is>
      </c>
      <c r="B38" s="271" t="inlineStr"/>
      <c r="C38" s="271" t="inlineStr"/>
      <c r="D38" s="271" t="inlineStr">
        <is>
          <t>2026-11-09</t>
        </is>
      </c>
      <c r="E38" s="271" t="inlineStr"/>
      <c r="F38" s="112" t="inlineStr">
        <is>
          <t>Class 20 (11/9) - Investment Centers: Chapter 13- ONLY; LO 13-1, 2, 3, 4</t>
        </is>
      </c>
    </row>
    <row r="39">
      <c r="A39" s="117" t="inlineStr">
        <is>
          <t>Homework</t>
        </is>
      </c>
      <c r="B39" s="271" t="inlineStr"/>
      <c r="C39" s="271" t="inlineStr"/>
      <c r="D39" s="271" t="inlineStr">
        <is>
          <t>2026-11-09</t>
        </is>
      </c>
      <c r="E39" s="271" t="inlineStr"/>
      <c r="F39" s="112" t="inlineStr">
        <is>
          <t>Class 20 (11/9) - 11-31, 11-52; 10 Points</t>
        </is>
      </c>
    </row>
    <row r="40">
      <c r="A40" s="116" t="inlineStr">
        <is>
          <t>Reading</t>
        </is>
      </c>
      <c r="B40" s="271" t="inlineStr"/>
      <c r="C40" s="271" t="inlineStr"/>
      <c r="D40" s="271" t="inlineStr">
        <is>
          <t>2026-11-16</t>
        </is>
      </c>
      <c r="E40" s="271" t="inlineStr"/>
      <c r="F40" s="112" t="inlineStr">
        <is>
          <t>Class 21 (11/16) - AI &amp; FP&amp;A</t>
        </is>
      </c>
    </row>
    <row r="41">
      <c r="A41" s="117" t="inlineStr">
        <is>
          <t>Homework</t>
        </is>
      </c>
      <c r="B41" s="271" t="inlineStr"/>
      <c r="C41" s="271" t="inlineStr"/>
      <c r="D41" s="271" t="inlineStr">
        <is>
          <t>2026-11-16</t>
        </is>
      </c>
      <c r="E41" s="271" t="inlineStr"/>
      <c r="F41" s="112" t="inlineStr">
        <is>
          <t>Class 21 (11/16) - 13-29, 13-33; 10 Points</t>
        </is>
      </c>
    </row>
    <row r="42">
      <c r="A42" s="116" t="inlineStr">
        <is>
          <t>Reading</t>
        </is>
      </c>
      <c r="B42" s="271" t="inlineStr"/>
      <c r="C42" s="271" t="inlineStr"/>
      <c r="D42" s="271" t="inlineStr">
        <is>
          <t>2026-12-02</t>
        </is>
      </c>
      <c r="E42" s="271" t="inlineStr"/>
      <c r="F42" s="112" t="inlineStr">
        <is>
          <t>Class 2 (12/2) - Catchup &amp; Final Review; Practice Final Questions Posted to Brightspace at; 5:00 PM</t>
        </is>
      </c>
    </row>
    <row r="43">
      <c r="A43" s="117" t="inlineStr">
        <is>
          <t>Homework</t>
        </is>
      </c>
      <c r="B43" s="271" t="inlineStr"/>
      <c r="C43" s="271" t="inlineStr"/>
      <c r="D43" s="271" t="inlineStr">
        <is>
          <t>2026-12-02</t>
        </is>
      </c>
      <c r="E43" s="271" t="inlineStr"/>
      <c r="F43" s="112" t="inlineStr">
        <is>
          <t>Class 2 (12/2) - 14-35, 14-41; 10 Points; Assignments listed Be-; low Due by11:59 PM; Linked In Learning; E</t>
        </is>
      </c>
    </row>
    <row r="44">
      <c r="A44" s="106" t="inlineStr">
        <is>
          <t>LinkedIn Learning Excel Certification</t>
        </is>
      </c>
      <c r="B44" s="269" t="inlineStr">
        <is>
          <t>75 pts</t>
        </is>
      </c>
      <c r="C44" s="270" t="inlineStr">
        <is>
          <t>2026-09-23</t>
        </is>
      </c>
      <c r="D44" s="270" t="inlineStr">
        <is>
          <t>2026-12-02</t>
        </is>
      </c>
      <c r="E44" s="270" t="inlineStr">
        <is>
          <t>No</t>
        </is>
      </c>
      <c r="F44" s="109">
        <f>HYPERLINK("https://raw.githubusercontent.com/vengeanceaiUSC/Syllabus-/cursor/add-syllabus-dissector-skill-a676/output/documents/buad-281-linkedin-learning-excel-certification.pdf","Open PDF")</f>
        <v/>
      </c>
    </row>
    <row r="45">
      <c r="A45" s="118" t="inlineStr">
        <is>
          <t>Certification</t>
        </is>
      </c>
      <c r="B45" s="271" t="inlineStr"/>
      <c r="C45" s="271" t="inlineStr">
        <is>
          <t>2026-09-23</t>
        </is>
      </c>
      <c r="D45" s="271" t="inlineStr">
        <is>
          <t>2026-12-02</t>
        </is>
      </c>
      <c r="E45" s="271" t="inlineStr"/>
      <c r="F45" s="112" t="inlineStr">
        <is>
          <t>LinkedIn Learning Excel Certification</t>
        </is>
      </c>
    </row>
    <row r="46">
      <c r="A46" s="113" t="inlineStr">
        <is>
          <t>Stukent Simternship</t>
        </is>
      </c>
      <c r="B46" s="269" t="inlineStr">
        <is>
          <t>75 pts</t>
        </is>
      </c>
      <c r="C46" s="272" t="inlineStr">
        <is>
          <t>2026-09-23</t>
        </is>
      </c>
      <c r="D46" s="272" t="inlineStr">
        <is>
          <t>2026-12-02</t>
        </is>
      </c>
      <c r="E46" s="272" t="inlineStr">
        <is>
          <t>No</t>
        </is>
      </c>
      <c r="F46" s="115">
        <f>HYPERLINK("https://raw.githubusercontent.com/vengeanceaiUSC/Syllabus-/cursor/add-syllabus-dissector-skill-a676/output/documents/buad-281-stukent-simternship.pdf","Open PDF")</f>
        <v/>
      </c>
    </row>
    <row r="47">
      <c r="A47" s="118" t="inlineStr">
        <is>
          <t>Certification</t>
        </is>
      </c>
      <c r="B47" s="271" t="inlineStr"/>
      <c r="C47" s="271" t="inlineStr">
        <is>
          <t>2026-09-23</t>
        </is>
      </c>
      <c r="D47" s="271" t="inlineStr">
        <is>
          <t>2026-12-02</t>
        </is>
      </c>
      <c r="E47" s="271" t="inlineStr"/>
      <c r="F47" s="112" t="inlineStr">
        <is>
          <t>Stukent Simternship</t>
        </is>
      </c>
    </row>
    <row r="48">
      <c r="A48" s="3" t="inlineStr">
        <is>
          <t>Total</t>
        </is>
      </c>
      <c r="B48" s="119" t="inlineStr">
        <is>
          <t>1070 pts</t>
        </is>
      </c>
    </row>
  </sheetData>
  <mergeCells count="5">
    <mergeCell ref="A2:F2"/>
    <mergeCell ref="B6:F6"/>
    <mergeCell ref="A1:F1"/>
    <mergeCell ref="B8:F8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274" t="inlineStr">
        <is>
          <t>20%</t>
        </is>
      </c>
      <c r="C10" s="275" t="inlineStr"/>
      <c r="D10" s="275" t="inlineStr">
        <is>
          <t>2026-09-15</t>
        </is>
      </c>
      <c r="E10" s="275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276" t="inlineStr"/>
      <c r="C11" s="276" t="inlineStr"/>
      <c r="D11" s="276" t="inlineStr">
        <is>
          <t>2026-09-15</t>
        </is>
      </c>
      <c r="E11" s="276" t="inlineStr"/>
      <c r="F11" s="99" t="inlineStr">
        <is>
          <t>Sleep Paper Due</t>
        </is>
      </c>
    </row>
    <row r="12">
      <c r="A12" s="97" t="inlineStr">
        <is>
          <t>Reading</t>
        </is>
      </c>
      <c r="B12" s="276" t="inlineStr"/>
      <c r="C12" s="276" t="inlineStr">
        <is>
          <t>2026-09-15</t>
        </is>
      </c>
      <c r="D12" s="276" t="inlineStr">
        <is>
          <t>2026-09-18</t>
        </is>
      </c>
      <c r="E12" s="276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274" t="inlineStr">
        <is>
          <t>20%</t>
        </is>
      </c>
      <c r="C13" s="277" t="inlineStr"/>
      <c r="D13" s="277" t="inlineStr">
        <is>
          <t>2026-11-10</t>
        </is>
      </c>
      <c r="E13" s="277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276" t="inlineStr"/>
      <c r="C14" s="276" t="inlineStr"/>
      <c r="D14" s="276" t="inlineStr">
        <is>
          <t>2026-11-10</t>
        </is>
      </c>
      <c r="E14" s="276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276" t="inlineStr"/>
      <c r="C15" s="276" t="inlineStr">
        <is>
          <t>2026-11-10</t>
        </is>
      </c>
      <c r="D15" s="276" t="inlineStr">
        <is>
          <t>2026-11-13</t>
        </is>
      </c>
      <c r="E15" s="276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274" t="inlineStr">
        <is>
          <t>20%</t>
        </is>
      </c>
      <c r="C16" s="275" t="inlineStr"/>
      <c r="D16" s="275" t="inlineStr">
        <is>
          <t>2026-10-09</t>
        </is>
      </c>
      <c r="E16" s="275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276" t="inlineStr"/>
      <c r="C17" s="276" t="inlineStr"/>
      <c r="D17" s="276" t="inlineStr">
        <is>
          <t>2026-10-06</t>
        </is>
      </c>
      <c r="E17" s="276" t="inlineStr"/>
      <c r="F17" s="99" t="inlineStr">
        <is>
          <t>Midterm Exam</t>
        </is>
      </c>
    </row>
    <row r="18">
      <c r="A18" s="97" t="inlineStr">
        <is>
          <t>Reading</t>
        </is>
      </c>
      <c r="B18" s="276" t="inlineStr"/>
      <c r="C18" s="276" t="inlineStr">
        <is>
          <t>2026-10-06</t>
        </is>
      </c>
      <c r="D18" s="276" t="inlineStr">
        <is>
          <t>2026-10-09</t>
        </is>
      </c>
      <c r="E18" s="276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276" t="inlineStr"/>
      <c r="C19" s="276" t="inlineStr">
        <is>
          <t>2026-12-01</t>
        </is>
      </c>
      <c r="D19" s="276" t="inlineStr">
        <is>
          <t>2026-12-04</t>
        </is>
      </c>
      <c r="E19" s="276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274" t="inlineStr">
        <is>
          <t>20%</t>
        </is>
      </c>
      <c r="C20" s="277" t="inlineStr"/>
      <c r="D20" s="277" t="inlineStr">
        <is>
          <t>2026-09-17</t>
        </is>
      </c>
      <c r="E20" s="277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276" t="inlineStr"/>
      <c r="C21" s="276" t="inlineStr"/>
      <c r="D21" s="276" t="inlineStr">
        <is>
          <t>2026-12-10</t>
        </is>
      </c>
      <c r="E21" s="276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274" t="inlineStr">
        <is>
          <t>15%</t>
        </is>
      </c>
      <c r="C22" s="275" t="inlineStr"/>
      <c r="D22" s="275" t="inlineStr">
        <is>
          <t>2026-11-12</t>
        </is>
      </c>
      <c r="E22" s="275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276" t="inlineStr"/>
      <c r="C23" s="276" t="inlineStr">
        <is>
          <t>2026-08-25</t>
        </is>
      </c>
      <c r="D23" s="276" t="inlineStr">
        <is>
          <t>2026-08-29</t>
        </is>
      </c>
      <c r="E23" s="276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276" t="inlineStr"/>
      <c r="C24" s="276" t="inlineStr">
        <is>
          <t>2026-08-25</t>
        </is>
      </c>
      <c r="D24" s="276" t="inlineStr">
        <is>
          <t>2026-08-29</t>
        </is>
      </c>
      <c r="E24" s="276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276" t="inlineStr"/>
      <c r="C25" s="276" t="inlineStr">
        <is>
          <t>2026-09-01</t>
        </is>
      </c>
      <c r="D25" s="276" t="inlineStr">
        <is>
          <t>2026-09-04</t>
        </is>
      </c>
      <c r="E25" s="276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276" t="inlineStr"/>
      <c r="C26" s="276" t="inlineStr">
        <is>
          <t>2026-09-01</t>
        </is>
      </c>
      <c r="D26" s="276" t="inlineStr">
        <is>
          <t>2026-09-04</t>
        </is>
      </c>
      <c r="E26" s="276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276" t="inlineStr"/>
      <c r="C27" s="276" t="inlineStr">
        <is>
          <t>2026-09-08</t>
        </is>
      </c>
      <c r="D27" s="276" t="inlineStr">
        <is>
          <t>2026-09-11</t>
        </is>
      </c>
      <c r="E27" s="276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276" t="inlineStr"/>
      <c r="C28" s="276" t="inlineStr">
        <is>
          <t>2026-09-08</t>
        </is>
      </c>
      <c r="D28" s="276" t="inlineStr">
        <is>
          <t>2026-09-11</t>
        </is>
      </c>
      <c r="E28" s="276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276" t="inlineStr"/>
      <c r="C29" s="276" t="inlineStr">
        <is>
          <t>2026-09-15</t>
        </is>
      </c>
      <c r="D29" s="276" t="inlineStr">
        <is>
          <t>2026-09-18</t>
        </is>
      </c>
      <c r="E29" s="276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276" t="inlineStr"/>
      <c r="C30" s="276" t="inlineStr">
        <is>
          <t>2026-09-20</t>
        </is>
      </c>
      <c r="D30" s="276" t="inlineStr">
        <is>
          <t>2026-09-24</t>
        </is>
      </c>
      <c r="E30" s="276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276" t="inlineStr"/>
      <c r="C31" s="276" t="inlineStr">
        <is>
          <t>2026-09-20</t>
        </is>
      </c>
      <c r="D31" s="276" t="inlineStr">
        <is>
          <t>2026-09-24</t>
        </is>
      </c>
      <c r="E31" s="276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276" t="inlineStr"/>
      <c r="C32" s="276" t="inlineStr">
        <is>
          <t>2026-09-20</t>
        </is>
      </c>
      <c r="D32" s="276" t="inlineStr">
        <is>
          <t>2026-09-24</t>
        </is>
      </c>
      <c r="E32" s="276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276" t="inlineStr"/>
      <c r="C33" s="276" t="inlineStr">
        <is>
          <t>2026-10-13</t>
        </is>
      </c>
      <c r="D33" s="276" t="inlineStr">
        <is>
          <t>2026-10-16</t>
        </is>
      </c>
      <c r="E33" s="276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276" t="inlineStr"/>
      <c r="C34" s="276" t="inlineStr">
        <is>
          <t>2026-10-20</t>
        </is>
      </c>
      <c r="D34" s="276" t="inlineStr">
        <is>
          <t>2026-10-23</t>
        </is>
      </c>
      <c r="E34" s="276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276" t="inlineStr"/>
      <c r="C35" s="276" t="inlineStr">
        <is>
          <t>2026-10-27</t>
        </is>
      </c>
      <c r="D35" s="276" t="inlineStr">
        <is>
          <t>2026-10-30</t>
        </is>
      </c>
      <c r="E35" s="276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276" t="inlineStr"/>
      <c r="C36" s="276" t="inlineStr">
        <is>
          <t>2026-10-27</t>
        </is>
      </c>
      <c r="D36" s="276" t="inlineStr">
        <is>
          <t>2026-10-30</t>
        </is>
      </c>
      <c r="E36" s="276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276" t="inlineStr"/>
      <c r="C37" s="276" t="inlineStr">
        <is>
          <t>2026-11-03</t>
        </is>
      </c>
      <c r="D37" s="276" t="inlineStr">
        <is>
          <t>2026-11-06</t>
        </is>
      </c>
      <c r="E37" s="276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276" t="inlineStr"/>
      <c r="C38" s="276" t="inlineStr">
        <is>
          <t>2026-11-03</t>
        </is>
      </c>
      <c r="D38" s="276" t="inlineStr">
        <is>
          <t>2026-11-06</t>
        </is>
      </c>
      <c r="E38" s="276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276" t="inlineStr"/>
      <c r="C39" s="276" t="inlineStr">
        <is>
          <t>2026-11-10</t>
        </is>
      </c>
      <c r="D39" s="276" t="inlineStr">
        <is>
          <t>2026-11-13</t>
        </is>
      </c>
      <c r="E39" s="276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276" t="inlineStr"/>
      <c r="C40" s="276" t="inlineStr">
        <is>
          <t>2026-11-17</t>
        </is>
      </c>
      <c r="D40" s="276" t="inlineStr">
        <is>
          <t>2026-11-20</t>
        </is>
      </c>
      <c r="E40" s="276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276" t="inlineStr"/>
      <c r="C41" s="276" t="inlineStr">
        <is>
          <t>2026-11-17</t>
        </is>
      </c>
      <c r="D41" s="276" t="inlineStr">
        <is>
          <t>2026-11-20</t>
        </is>
      </c>
      <c r="E41" s="276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274" t="inlineStr">
        <is>
          <t>5%</t>
        </is>
      </c>
      <c r="C42" s="277" t="inlineStr"/>
      <c r="D42" s="277" t="inlineStr">
        <is>
          <t>2026-12-10</t>
        </is>
      </c>
      <c r="E42" s="277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276" t="inlineStr"/>
      <c r="C43" s="276" t="inlineStr">
        <is>
          <t>2026-08-25</t>
        </is>
      </c>
      <c r="D43" s="276" t="inlineStr">
        <is>
          <t>2026-08-29</t>
        </is>
      </c>
      <c r="E43" s="276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276" t="inlineStr"/>
      <c r="C44" s="276" t="inlineStr">
        <is>
          <t>2026-09-01</t>
        </is>
      </c>
      <c r="D44" s="276" t="inlineStr">
        <is>
          <t>2026-09-04</t>
        </is>
      </c>
      <c r="E44" s="276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276" t="inlineStr"/>
      <c r="C45" s="276" t="inlineStr">
        <is>
          <t>2026-09-08</t>
        </is>
      </c>
      <c r="D45" s="276" t="inlineStr">
        <is>
          <t>2026-09-11</t>
        </is>
      </c>
      <c r="E45" s="276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276" t="inlineStr"/>
      <c r="C46" s="276" t="inlineStr">
        <is>
          <t>2026-09-15</t>
        </is>
      </c>
      <c r="D46" s="276" t="inlineStr">
        <is>
          <t>2026-09-18</t>
        </is>
      </c>
      <c r="E46" s="276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276" t="inlineStr"/>
      <c r="C47" s="276" t="inlineStr">
        <is>
          <t>2026-09-20</t>
        </is>
      </c>
      <c r="D47" s="276" t="inlineStr">
        <is>
          <t>2026-09-24</t>
        </is>
      </c>
      <c r="E47" s="276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276" t="inlineStr"/>
      <c r="C48" s="276" t="inlineStr">
        <is>
          <t>2026-10-06</t>
        </is>
      </c>
      <c r="D48" s="276" t="inlineStr">
        <is>
          <t>2026-10-09</t>
        </is>
      </c>
      <c r="E48" s="276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276" t="inlineStr"/>
      <c r="C49" s="276" t="inlineStr">
        <is>
          <t>2026-10-13</t>
        </is>
      </c>
      <c r="D49" s="276" t="inlineStr">
        <is>
          <t>2026-10-16</t>
        </is>
      </c>
      <c r="E49" s="276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276" t="inlineStr"/>
      <c r="C50" s="276" t="inlineStr">
        <is>
          <t>2026-10-20</t>
        </is>
      </c>
      <c r="D50" s="276" t="inlineStr">
        <is>
          <t>2026-10-23</t>
        </is>
      </c>
      <c r="E50" s="276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276" t="inlineStr"/>
      <c r="C51" s="276" t="inlineStr">
        <is>
          <t>2026-10-27</t>
        </is>
      </c>
      <c r="D51" s="276" t="inlineStr">
        <is>
          <t>2026-10-30</t>
        </is>
      </c>
      <c r="E51" s="276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276" t="inlineStr"/>
      <c r="C52" s="276" t="inlineStr">
        <is>
          <t>2026-11-03</t>
        </is>
      </c>
      <c r="D52" s="276" t="inlineStr">
        <is>
          <t>2026-11-06</t>
        </is>
      </c>
      <c r="E52" s="276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276" t="inlineStr"/>
      <c r="C53" s="276" t="inlineStr">
        <is>
          <t>2026-11-10</t>
        </is>
      </c>
      <c r="D53" s="276" t="inlineStr">
        <is>
          <t>2026-11-13</t>
        </is>
      </c>
      <c r="E53" s="276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276" t="inlineStr"/>
      <c r="C54" s="276" t="inlineStr">
        <is>
          <t>2026-11-17</t>
        </is>
      </c>
      <c r="D54" s="276" t="inlineStr">
        <is>
          <t>2026-11-20</t>
        </is>
      </c>
      <c r="E54" s="276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276" t="inlineStr"/>
      <c r="C55" s="276" t="inlineStr">
        <is>
          <t>2026-12-01</t>
        </is>
      </c>
      <c r="D55" s="276" t="inlineStr">
        <is>
          <t>2026-12-04</t>
        </is>
      </c>
      <c r="E55" s="276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274" t="inlineStr">
        <is>
          <t>—</t>
        </is>
      </c>
      <c r="C56" s="275" t="inlineStr"/>
      <c r="D56" s="275" t="inlineStr">
        <is>
          <t>2026-12-04</t>
        </is>
      </c>
      <c r="E56" s="275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2026-08-21T16:10:52Z</dcterms:modified>
</cp:coreProperties>
</file>