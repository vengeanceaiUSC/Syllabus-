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03">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16"/>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2026-08-30</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HYPERLINK("#'ANTH-202'!A1","ANTH-202")</f>
        <v/>
      </c>
      <c r="B6" s="88" t="inlineStr">
        <is>
          <t>Tracie Mayfield</t>
        </is>
      </c>
      <c r="C6" s="26" t="inlineStr">
        <is>
          <t>4.6</t>
        </is>
      </c>
      <c r="D6" s="8" t="inlineStr">
        <is>
          <t>2.1</t>
        </is>
      </c>
      <c r="E6" s="8" t="inlineStr">
        <is>
          <t>A- (3.93) [27/43 reported]</t>
        </is>
      </c>
      <c r="F6" s="8" t="inlineStr">
        <is>
          <t>81.8%</t>
        </is>
      </c>
      <c r="G6" s="8" t="inlineStr">
        <is>
          <t>43</t>
        </is>
      </c>
    </row>
    <row r="7" hidden="1" outlineLevel="1">
      <c r="A7" s="10">
        <f>HYPERLINK("#'BUAD-281'!A1","BUAD-281")</f>
        <v/>
      </c>
      <c r="B7" s="89" t="inlineStr">
        <is>
          <t>George Braunegg</t>
        </is>
      </c>
      <c r="C7" s="90" t="inlineStr">
        <is>
          <t>4.3</t>
        </is>
      </c>
      <c r="D7" s="11" t="inlineStr">
        <is>
          <t>3.3</t>
        </is>
      </c>
      <c r="E7" s="11" t="inlineStr">
        <is>
          <t>A- (3.69) [177/255 reported]</t>
        </is>
      </c>
      <c r="F7" s="11" t="inlineStr">
        <is>
          <t>80.9%</t>
        </is>
      </c>
      <c r="G7" s="11" t="inlineStr">
        <is>
          <t>255</t>
        </is>
      </c>
    </row>
    <row r="8" hidden="1" outlineLevel="1">
      <c r="A8" s="7">
        <f>HYPERLINK("#'BUAD-304'!A1","BUAD-304")</f>
        <v/>
      </c>
      <c r="B8" s="88" t="inlineStr">
        <is>
          <t>Christine El Haddad</t>
        </is>
      </c>
      <c r="C8" s="26" t="inlineStr">
        <is>
          <t>4.5</t>
        </is>
      </c>
      <c r="D8" s="8" t="inlineStr">
        <is>
          <t>2.7</t>
        </is>
      </c>
      <c r="E8" s="8" t="inlineStr">
        <is>
          <t>A- (3.71) [29/50 reported]</t>
        </is>
      </c>
      <c r="F8" s="8" t="inlineStr">
        <is>
          <t>78.9%</t>
        </is>
      </c>
      <c r="G8" s="8" t="inlineStr">
        <is>
          <t>50</t>
        </is>
      </c>
    </row>
    <row r="9" hidden="1" outlineLevel="1">
      <c r="A9" s="10">
        <f>HYPERLINK("#'ECON-351'!A1","ECON-351")</f>
        <v/>
      </c>
      <c r="B9" s="89" t="inlineStr">
        <is>
          <t>Alejandro Martínez-Marquina / João Ramos (RMP: Alejandro Martínez-Marquina)</t>
        </is>
      </c>
      <c r="C9" s="90" t="inlineStr">
        <is>
          <t>4.6</t>
        </is>
      </c>
      <c r="D9" s="11" t="inlineStr">
        <is>
          <t>3.1</t>
        </is>
      </c>
      <c r="E9" s="11" t="inlineStr">
        <is>
          <t>A- (3.76) [39/62 reported]</t>
        </is>
      </c>
      <c r="F9" s="11" t="inlineStr">
        <is>
          <t>85.2%</t>
        </is>
      </c>
      <c r="G9" s="11" t="inlineStr">
        <is>
          <t>62</t>
        </is>
      </c>
    </row>
    <row r="10" hidden="1" outlineLevel="1">
      <c r="A10" s="7">
        <f>HYPERLINK("#'HIST-103'!A1","HIST-103")</f>
        <v/>
      </c>
      <c r="B10" s="88" t="inlineStr">
        <is>
          <t>Lindsay O'Neill</t>
        </is>
      </c>
      <c r="C10" s="26" t="inlineStr">
        <is>
          <t>4.3</t>
        </is>
      </c>
      <c r="D10" s="8" t="inlineStr">
        <is>
          <t>2.5</t>
        </is>
      </c>
      <c r="E10" s="8" t="inlineStr">
        <is>
          <t>A- (3.77) [27/54 reported]</t>
        </is>
      </c>
      <c r="F10" s="8" t="inlineStr">
        <is>
          <t>79.3%</t>
        </is>
      </c>
      <c r="G10" s="8" t="inlineStr">
        <is>
          <t>54</t>
        </is>
      </c>
    </row>
    <row r="11" hidden="1" outlineLevel="1">
      <c r="A11" s="10">
        <f>HYPERLINK("#'JS-310'!A1","JS-310")</f>
        <v/>
      </c>
      <c r="B11" s="89" t="inlineStr">
        <is>
          <t>Andrzej Brylak / Yulia Dubasova (RMP: Andrzej Brylak)</t>
        </is>
      </c>
      <c r="C11" s="90" t="inlineStr">
        <is>
          <t>4.9</t>
        </is>
      </c>
      <c r="D11" s="11" t="inlineStr">
        <is>
          <t>1.6</t>
        </is>
      </c>
      <c r="E11" s="11" t="inlineStr">
        <is>
          <t>A+ (4) [11/12 reported]</t>
        </is>
      </c>
      <c r="F11" s="11" t="inlineStr">
        <is>
          <t>100%</t>
        </is>
      </c>
      <c r="G11" s="11" t="inlineStr">
        <is>
          <t>12</t>
        </is>
      </c>
    </row>
    <row r="12" hidden="1" outlineLevel="1">
      <c r="A12" s="7">
        <f>HYPERLINK("#'SPAN-290'!A1","SPAN-290")</f>
        <v/>
      </c>
      <c r="B12" s="88" t="inlineStr">
        <is>
          <t>Samuel Steinberg</t>
        </is>
      </c>
      <c r="C12" s="26" t="inlineStr">
        <is>
          <t>4.5</t>
        </is>
      </c>
      <c r="D12" s="8" t="inlineStr">
        <is>
          <t>2.2</t>
        </is>
      </c>
      <c r="E12" s="8" t="inlineStr">
        <is>
          <t>A- (3.74) [5/5 reported]</t>
        </is>
      </c>
      <c r="F12" s="8" t="inlineStr">
        <is>
          <t>100%</t>
        </is>
      </c>
      <c r="G12" s="8" t="inlineStr">
        <is>
          <t>5</t>
        </is>
      </c>
    </row>
    <row r="13" hidden="1" outlineLevel="1"/>
    <row r="14" hidden="1" outlineLevel="1">
      <c r="A14" s="13" t="inlineStr">
        <is>
          <t>Consensus - recurring student review themes</t>
        </is>
      </c>
    </row>
    <row r="15" hidden="1" outlineLevel="1" ht="45" customHeight="1">
      <c r="A15" s="104" t="inlineStr">
        <is>
          <t>ANTH-202</t>
        </is>
      </c>
      <c r="B15" s="105" t="inlineStr">
        <is>
          <t>Tracie Mayfield</t>
        </is>
      </c>
      <c r="C15" s="8" t="inlineStr"/>
    </row>
    <row r="16" hidden="1" outlineLevel="1" ht="135" customHeight="1">
      <c r="A16" s="106" t="inlineStr">
        <is>
          <t>BUAD-281</t>
        </is>
      </c>
      <c r="B16" s="107" t="inlineStr">
        <is>
          <t>George Braunegg</t>
        </is>
      </c>
      <c r="C16"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7" hidden="1" outlineLevel="1" ht="135" customHeight="1">
      <c r="A17" s="104" t="inlineStr">
        <is>
          <t>BUAD-304</t>
        </is>
      </c>
      <c r="B17" s="105" t="inlineStr">
        <is>
          <t>Christine El Haddad</t>
        </is>
      </c>
      <c r="C17"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8" hidden="1" outlineLevel="1" ht="165" customHeight="1">
      <c r="A18" s="106" t="inlineStr">
        <is>
          <t>ECON-351</t>
        </is>
      </c>
      <c r="B18" s="107" t="inlineStr">
        <is>
          <t>Alejandro Martínez-Marquina / João Ramos (RMP: Alejandro Martínez-Marquina)</t>
        </is>
      </c>
      <c r="C18"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9" hidden="1" outlineLevel="1" ht="135" customHeight="1">
      <c r="A19" s="104" t="inlineStr">
        <is>
          <t>HIST-103</t>
        </is>
      </c>
      <c r="B19" s="105" t="inlineStr">
        <is>
          <t>Lindsay O'Neill</t>
        </is>
      </c>
      <c r="C19"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20" hidden="1" outlineLevel="1" ht="165" customHeight="1">
      <c r="A20" s="106" t="inlineStr">
        <is>
          <t>JS-310</t>
        </is>
      </c>
      <c r="B20" s="107" t="inlineStr">
        <is>
          <t>Andrzej Brylak / Yulia Dubasova (RMP: Andrzej Brylak)</t>
        </is>
      </c>
      <c r="C20"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21" hidden="1" outlineLevel="1" ht="120" customHeight="1">
      <c r="A21" s="104" t="inlineStr">
        <is>
          <t>SPAN-290</t>
        </is>
      </c>
      <c r="B21" s="105" t="inlineStr">
        <is>
          <t>Samuel Steinberg</t>
        </is>
      </c>
      <c r="C21"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2" hidden="1" outlineLevel="1"/>
    <row r="23" hidden="1" outlineLevel="1">
      <c r="A23" s="13" t="inlineStr">
        <is>
          <t>Student reviews (Rate My Professors) - newest first</t>
        </is>
      </c>
    </row>
    <row r="24" hidden="1" outlineLevel="1">
      <c r="A24" s="6" t="inlineStr">
        <is>
          <t>Class</t>
        </is>
      </c>
      <c r="B24" s="6" t="inlineStr">
        <is>
          <t>Date</t>
        </is>
      </c>
      <c r="C24" s="6" t="inlineStr">
        <is>
          <t>Grade</t>
        </is>
      </c>
      <c r="D24" s="6" t="inlineStr">
        <is>
          <t>Q/D</t>
        </is>
      </c>
      <c r="E24" s="6" t="inlineStr">
        <is>
          <t>Review</t>
        </is>
      </c>
    </row>
    <row r="25" hidden="1" outlineLevel="1" ht="75" customHeight="1">
      <c r="A25" s="104" t="inlineStr">
        <is>
          <t>ANTH-202</t>
        </is>
      </c>
      <c r="B25" s="105" t="inlineStr">
        <is>
          <t>2026-06-04</t>
        </is>
      </c>
      <c r="C25" s="105" t="inlineStr">
        <is>
          <t>A+</t>
        </is>
      </c>
      <c r="D25" s="105" t="inlineStr">
        <is>
          <t>5/2</t>
        </is>
      </c>
      <c r="E25"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26" hidden="1" outlineLevel="1" ht="75" customHeight="1">
      <c r="A26" s="107" t="inlineStr"/>
      <c r="B26" s="107" t="inlineStr">
        <is>
          <t>2026-05-29</t>
        </is>
      </c>
      <c r="C26" s="107" t="inlineStr">
        <is>
          <t>A</t>
        </is>
      </c>
      <c r="D26" s="107" t="inlineStr">
        <is>
          <t>5/2</t>
        </is>
      </c>
      <c r="E26"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27" hidden="1" outlineLevel="1" ht="45" customHeight="1">
      <c r="A27" s="105" t="inlineStr"/>
      <c r="B27" s="105" t="inlineStr">
        <is>
          <t>2026-05-28</t>
        </is>
      </c>
      <c r="C27" s="105" t="inlineStr">
        <is>
          <t>A</t>
        </is>
      </c>
      <c r="D27" s="105" t="inlineStr">
        <is>
          <t>5/1</t>
        </is>
      </c>
      <c r="E27" s="8" t="inlineStr">
        <is>
          <t>Easy A if you are willing to put into effort. She replied to my emails very quickly. Exams were online and not cumulative. Overall, this is a manageable GE. Definitely recommend! [EXTRA CREDIT, Respected, Accessible outside class]</t>
        </is>
      </c>
    </row>
    <row r="28" hidden="1" outlineLevel="1" ht="30" customHeight="1">
      <c r="A28" s="107" t="inlineStr"/>
      <c r="B28" s="107" t="inlineStr">
        <is>
          <t>2026-05-27</t>
        </is>
      </c>
      <c r="C28" s="107" t="inlineStr">
        <is>
          <t>A</t>
        </is>
      </c>
      <c r="D28" s="107" t="inlineStr">
        <is>
          <t>5/2</t>
        </is>
      </c>
      <c r="E28" s="11" t="inlineStr">
        <is>
          <t>love her. so passionate and an easy GE.</t>
        </is>
      </c>
    </row>
    <row r="29" hidden="1" outlineLevel="1" ht="45" customHeight="1">
      <c r="A29" s="105" t="inlineStr"/>
      <c r="B29" s="105" t="inlineStr">
        <is>
          <t>2026-02-06</t>
        </is>
      </c>
      <c r="C29" s="105" t="inlineStr">
        <is>
          <t>Rather not say</t>
        </is>
      </c>
      <c r="D29" s="105" t="inlineStr">
        <is>
          <t>2/5</t>
        </is>
      </c>
      <c r="E29" s="8" t="inlineStr">
        <is>
          <t>Not considerate or reasonable. Haphazard assignments, bad communication, and overall not worth your time or effort. Very hard and not even engaging. [Tough grader, Get ready to read, Participation matters]</t>
        </is>
      </c>
    </row>
    <row r="30" hidden="1" outlineLevel="1" ht="60" customHeight="1">
      <c r="A30" s="107" t="inlineStr"/>
      <c r="B30" s="107" t="inlineStr">
        <is>
          <t>2026-02-03</t>
        </is>
      </c>
      <c r="C30" s="107" t="inlineStr">
        <is>
          <t>-</t>
        </is>
      </c>
      <c r="D30" s="107" t="inlineStr">
        <is>
          <t>1/5</t>
        </is>
      </c>
      <c r="E30"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31" hidden="1" outlineLevel="1" ht="75" customHeight="1">
      <c r="A31" s="105" t="inlineStr"/>
      <c r="B31" s="105" t="inlineStr">
        <is>
          <t>2026-01-09</t>
        </is>
      </c>
      <c r="C31" s="105" t="inlineStr">
        <is>
          <t>A</t>
        </is>
      </c>
      <c r="D31" s="105" t="inlineStr">
        <is>
          <t>5/4</t>
        </is>
      </c>
      <c r="E31"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32" hidden="1" outlineLevel="1" ht="75" customHeight="1">
      <c r="A32" s="107" t="inlineStr"/>
      <c r="B32" s="107" t="inlineStr">
        <is>
          <t>2025-12-25</t>
        </is>
      </c>
      <c r="C32" s="107" t="inlineStr">
        <is>
          <t>A</t>
        </is>
      </c>
      <c r="D32" s="107" t="inlineStr">
        <is>
          <t>4/4</t>
        </is>
      </c>
      <c r="E32"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33" hidden="1" outlineLevel="1" ht="90" customHeight="1">
      <c r="A33" s="105" t="inlineStr"/>
      <c r="B33" s="105" t="inlineStr">
        <is>
          <t>2025-06-01</t>
        </is>
      </c>
      <c r="C33" s="105" t="inlineStr">
        <is>
          <t>A</t>
        </is>
      </c>
      <c r="D33" s="105" t="inlineStr">
        <is>
          <t>4/3</t>
        </is>
      </c>
      <c r="E33"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34" hidden="1" outlineLevel="1" ht="90" customHeight="1">
      <c r="A34" s="107" t="inlineStr"/>
      <c r="B34" s="107" t="inlineStr">
        <is>
          <t>2025-05-17</t>
        </is>
      </c>
      <c r="C34" s="107" t="inlineStr">
        <is>
          <t>Not sure yet</t>
        </is>
      </c>
      <c r="D34" s="107" t="inlineStr">
        <is>
          <t>3/4</t>
        </is>
      </c>
      <c r="E34"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35" hidden="1" outlineLevel="1" ht="60" customHeight="1">
      <c r="A35" s="105" t="inlineStr"/>
      <c r="B35" s="105" t="inlineStr">
        <is>
          <t>2025-04-29</t>
        </is>
      </c>
      <c r="C35" s="105" t="inlineStr">
        <is>
          <t>A</t>
        </is>
      </c>
      <c r="D35" s="105" t="inlineStr">
        <is>
          <t>5/1</t>
        </is>
      </c>
      <c r="E35"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36" hidden="1" outlineLevel="1" ht="60" customHeight="1">
      <c r="A36" s="107" t="inlineStr"/>
      <c r="B36" s="107" t="inlineStr">
        <is>
          <t>2024-12-27</t>
        </is>
      </c>
      <c r="C36" s="107" t="inlineStr">
        <is>
          <t>A</t>
        </is>
      </c>
      <c r="D36" s="107" t="inlineStr">
        <is>
          <t>5/1</t>
        </is>
      </c>
      <c r="E36"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37" hidden="1" outlineLevel="1" ht="75" customHeight="1">
      <c r="A37" s="105" t="inlineStr"/>
      <c r="B37" s="105" t="inlineStr">
        <is>
          <t>2024-12-18</t>
        </is>
      </c>
      <c r="C37" s="105" t="inlineStr">
        <is>
          <t>A</t>
        </is>
      </c>
      <c r="D37" s="105" t="inlineStr">
        <is>
          <t>5/1</t>
        </is>
      </c>
      <c r="E37"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38" hidden="1" outlineLevel="1" ht="30" customHeight="1">
      <c r="A38" s="107" t="inlineStr"/>
      <c r="B38" s="107" t="inlineStr">
        <is>
          <t>2024-12-14</t>
        </is>
      </c>
      <c r="C38" s="107" t="inlineStr">
        <is>
          <t>-</t>
        </is>
      </c>
      <c r="D38" s="107" t="inlineStr">
        <is>
          <t>5/1</t>
        </is>
      </c>
      <c r="E38" s="11" t="inlineStr">
        <is>
          <t>She's so nice and funny one of the best professors for sure</t>
        </is>
      </c>
    </row>
    <row r="39" hidden="1" outlineLevel="1" ht="75" customHeight="1">
      <c r="A39" s="105" t="inlineStr"/>
      <c r="B39" s="105" t="inlineStr">
        <is>
          <t>2024-12-11</t>
        </is>
      </c>
      <c r="C39" s="105" t="inlineStr">
        <is>
          <t>A</t>
        </is>
      </c>
      <c r="D39" s="105" t="inlineStr">
        <is>
          <t>5/2</t>
        </is>
      </c>
      <c r="E39"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40" hidden="1" outlineLevel="1" ht="45" customHeight="1">
      <c r="A40" s="107" t="inlineStr"/>
      <c r="B40" s="107" t="inlineStr">
        <is>
          <t>2024-12-07</t>
        </is>
      </c>
      <c r="C40" s="107" t="inlineStr">
        <is>
          <t>Not sure yet</t>
        </is>
      </c>
      <c r="D40" s="107" t="inlineStr">
        <is>
          <t>5/3</t>
        </is>
      </c>
      <c r="E40" s="11" t="inlineStr">
        <is>
          <t>Great lectures, great person, clear grading rubric and well-defined expectations from class. Would love to take her again! [Get ready to read, EXTRA CREDIT, Clear grading criteria]</t>
        </is>
      </c>
    </row>
    <row r="41" hidden="1" outlineLevel="1" ht="30" customHeight="1">
      <c r="A41" s="105" t="inlineStr"/>
      <c r="B41" s="105" t="inlineStr">
        <is>
          <t>2024-04-24</t>
        </is>
      </c>
      <c r="C41" s="105" t="inlineStr">
        <is>
          <t>B</t>
        </is>
      </c>
      <c r="D41" s="105" t="inlineStr">
        <is>
          <t>2/2</t>
        </is>
      </c>
      <c r="E41" s="8" t="inlineStr">
        <is>
          <t>Not helpful when I need assistance and dismissive</t>
        </is>
      </c>
    </row>
    <row r="42" hidden="1" outlineLevel="1" ht="75" customHeight="1">
      <c r="A42" s="107" t="inlineStr"/>
      <c r="B42" s="107" t="inlineStr">
        <is>
          <t>2023-12-16</t>
        </is>
      </c>
      <c r="C42" s="107" t="inlineStr">
        <is>
          <t>A+</t>
        </is>
      </c>
      <c r="D42" s="107" t="inlineStr">
        <is>
          <t>5/2</t>
        </is>
      </c>
      <c r="E42"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43" hidden="1" outlineLevel="1" ht="90" customHeight="1">
      <c r="A43" s="105" t="inlineStr"/>
      <c r="B43" s="105" t="inlineStr">
        <is>
          <t>2023-06-30</t>
        </is>
      </c>
      <c r="C43" s="105" t="inlineStr">
        <is>
          <t>A-</t>
        </is>
      </c>
      <c r="D43" s="105" t="inlineStr">
        <is>
          <t>5/2</t>
        </is>
      </c>
      <c r="E43"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44" hidden="1" outlineLevel="1" ht="75" customHeight="1">
      <c r="A44" s="107" t="inlineStr"/>
      <c r="B44" s="107" t="inlineStr">
        <is>
          <t>2023-05-09</t>
        </is>
      </c>
      <c r="C44" s="107" t="inlineStr">
        <is>
          <t>A</t>
        </is>
      </c>
      <c r="D44" s="107" t="inlineStr">
        <is>
          <t>5/2</t>
        </is>
      </c>
      <c r="E44"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45" hidden="1" outlineLevel="1" ht="60" customHeight="1">
      <c r="A45" s="105" t="inlineStr"/>
      <c r="B45" s="105" t="inlineStr">
        <is>
          <t>2023-01-08</t>
        </is>
      </c>
      <c r="C45" s="105" t="inlineStr">
        <is>
          <t>A</t>
        </is>
      </c>
      <c r="D45" s="105" t="inlineStr">
        <is>
          <t>5/2</t>
        </is>
      </c>
      <c r="E45"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46" hidden="1" outlineLevel="1" ht="75" customHeight="1">
      <c r="A46" s="107" t="inlineStr"/>
      <c r="B46" s="107" t="inlineStr">
        <is>
          <t>2023-01-03</t>
        </is>
      </c>
      <c r="C46" s="107" t="inlineStr">
        <is>
          <t>A</t>
        </is>
      </c>
      <c r="D46" s="107" t="inlineStr">
        <is>
          <t>5/1</t>
        </is>
      </c>
      <c r="E46"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47" hidden="1" outlineLevel="1" ht="60" customHeight="1">
      <c r="A47" s="105" t="inlineStr"/>
      <c r="B47" s="105" t="inlineStr">
        <is>
          <t>2022-12-09</t>
        </is>
      </c>
      <c r="C47" s="105" t="inlineStr">
        <is>
          <t>Not sure yet</t>
        </is>
      </c>
      <c r="D47" s="105" t="inlineStr">
        <is>
          <t>5/2</t>
        </is>
      </c>
      <c r="E47"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48" hidden="1" outlineLevel="1" ht="60" customHeight="1">
      <c r="A48" s="107" t="inlineStr"/>
      <c r="B48" s="107" t="inlineStr">
        <is>
          <t>2021-12-24</t>
        </is>
      </c>
      <c r="C48" s="107" t="inlineStr">
        <is>
          <t>A</t>
        </is>
      </c>
      <c r="D48" s="107" t="inlineStr">
        <is>
          <t>5/1</t>
        </is>
      </c>
      <c r="E48"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49" hidden="1" outlineLevel="1" ht="75" customHeight="1">
      <c r="A49" s="105" t="inlineStr"/>
      <c r="B49" s="105" t="inlineStr">
        <is>
          <t>2021-12-23</t>
        </is>
      </c>
      <c r="C49" s="105" t="inlineStr">
        <is>
          <t>Not sure yet</t>
        </is>
      </c>
      <c r="D49" s="105" t="inlineStr">
        <is>
          <t>5/1</t>
        </is>
      </c>
      <c r="E49"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50" hidden="1" outlineLevel="1" ht="45" customHeight="1">
      <c r="A50" s="107" t="inlineStr"/>
      <c r="B50" s="107" t="inlineStr">
        <is>
          <t>2021-12-11</t>
        </is>
      </c>
      <c r="C50" s="107" t="inlineStr">
        <is>
          <t>Not sure yet</t>
        </is>
      </c>
      <c r="D50" s="107" t="inlineStr">
        <is>
          <t>4/3</t>
        </is>
      </c>
      <c r="E50" s="11" t="inlineStr">
        <is>
          <t>I really like her! It was hard to engage in class bc of zoom but that wasnt in dr mayfields control. I can see she has a clear passion for what she does. [Respected, Get ready to read, Inspirational]</t>
        </is>
      </c>
    </row>
    <row r="51" hidden="1" outlineLevel="1" ht="45" customHeight="1">
      <c r="A51" s="105" t="inlineStr"/>
      <c r="B51" s="105" t="inlineStr">
        <is>
          <t>2021-12-05</t>
        </is>
      </c>
      <c r="C51" s="105" t="inlineStr">
        <is>
          <t>-</t>
        </is>
      </c>
      <c r="D51" s="105" t="inlineStr">
        <is>
          <t>5/2</t>
        </is>
      </c>
      <c r="E51" s="8" t="inlineStr">
        <is>
          <t>Really love this professor. Although the content of ANTH201 isn't particularly difficult, Mayfield is passionate about what she teaches. She is very caring and is easy on grading, attendance, etc. [Caring]</t>
        </is>
      </c>
    </row>
    <row r="52" hidden="1" outlineLevel="1" ht="90" customHeight="1">
      <c r="A52" s="107" t="inlineStr"/>
      <c r="B52" s="107" t="inlineStr">
        <is>
          <t>2021-12-02</t>
        </is>
      </c>
      <c r="C52" s="107" t="inlineStr">
        <is>
          <t>A+</t>
        </is>
      </c>
      <c r="D52" s="107" t="inlineStr">
        <is>
          <t>5/1</t>
        </is>
      </c>
      <c r="E52"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53" hidden="1" outlineLevel="1" ht="45" customHeight="1">
      <c r="A53" s="105" t="inlineStr"/>
      <c r="B53" s="105" t="inlineStr">
        <is>
          <t>2021-05-12</t>
        </is>
      </c>
      <c r="C53" s="105" t="inlineStr">
        <is>
          <t>A</t>
        </is>
      </c>
      <c r="D53" s="105" t="inlineStr">
        <is>
          <t>5/2</t>
        </is>
      </c>
      <c r="E53" s="8" t="inlineStr">
        <is>
          <t>Wonderful teacher with tons of accomplishments under her belt. Tons of opportunities for extra credit and is lenient. Pretty light course load, at least when online. [Respected, Accessible outside class, Clear grading criteria]</t>
        </is>
      </c>
    </row>
    <row r="54" hidden="1" outlineLevel="1" ht="60" customHeight="1">
      <c r="A54" s="107" t="inlineStr"/>
      <c r="B54" s="107" t="inlineStr">
        <is>
          <t>2021-04-27</t>
        </is>
      </c>
      <c r="C54" s="107" t="inlineStr">
        <is>
          <t>A+</t>
        </is>
      </c>
      <c r="D54" s="107" t="inlineStr">
        <is>
          <t>5/2</t>
        </is>
      </c>
      <c r="E54"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55" hidden="1" outlineLevel="1" ht="75" customHeight="1">
      <c r="A55" s="105" t="inlineStr"/>
      <c r="B55" s="105" t="inlineStr">
        <is>
          <t>2020-12-07</t>
        </is>
      </c>
      <c r="C55" s="105" t="inlineStr">
        <is>
          <t>A</t>
        </is>
      </c>
      <c r="D55" s="105" t="inlineStr">
        <is>
          <t>5/2</t>
        </is>
      </c>
      <c r="E55"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56" hidden="1" outlineLevel="1" ht="30" customHeight="1">
      <c r="A56" s="107" t="inlineStr"/>
      <c r="B56" s="107" t="inlineStr">
        <is>
          <t>2020-11-21</t>
        </is>
      </c>
      <c r="C56" s="107" t="inlineStr">
        <is>
          <t>A</t>
        </is>
      </c>
      <c r="D56" s="107" t="inlineStr">
        <is>
          <t>5/1</t>
        </is>
      </c>
      <c r="E56" s="11" t="inlineStr">
        <is>
          <t>Mayfield is like Jesus: if Jesus can turn water into wine Mayfield can turn your grade to be fine [Get ready to read, Caring, EXTRA CREDIT]</t>
        </is>
      </c>
    </row>
    <row r="57" hidden="1" outlineLevel="1" ht="60" customHeight="1">
      <c r="A57" s="105" t="inlineStr"/>
      <c r="B57" s="105" t="inlineStr">
        <is>
          <t>2020-11-20</t>
        </is>
      </c>
      <c r="C57" s="105" t="inlineStr">
        <is>
          <t>A</t>
        </is>
      </c>
      <c r="D57" s="105" t="inlineStr">
        <is>
          <t>5/2</t>
        </is>
      </c>
      <c r="E57" s="8" t="inlineStr">
        <is>
          <t>Dr. Mayfield is phenomenal, and 314 is a great GE. If you enjoy history, this class should be pretty easy for you. Lots of extra credit and some pretty fascinating material. Also, the TA Dr. Heller is AMAZING. Dude should be teaching his own course.</t>
        </is>
      </c>
    </row>
    <row r="58" hidden="1" outlineLevel="1" ht="90" customHeight="1">
      <c r="A58" s="107" t="inlineStr"/>
      <c r="B58" s="107" t="inlineStr">
        <is>
          <t>2020-11-20</t>
        </is>
      </c>
      <c r="C58" s="107" t="inlineStr">
        <is>
          <t>Not sure yet</t>
        </is>
      </c>
      <c r="D58" s="107" t="inlineStr">
        <is>
          <t>5/1</t>
        </is>
      </c>
      <c r="E58"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59" hidden="1" outlineLevel="1" ht="90" customHeight="1">
      <c r="A59" s="105" t="inlineStr"/>
      <c r="B59" s="105" t="inlineStr">
        <is>
          <t>2020-11-19</t>
        </is>
      </c>
      <c r="C59" s="105" t="inlineStr">
        <is>
          <t>Not sure yet</t>
        </is>
      </c>
      <c r="D59" s="105" t="inlineStr">
        <is>
          <t>5/1</t>
        </is>
      </c>
      <c r="E59"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60" hidden="1" outlineLevel="1" ht="75" customHeight="1">
      <c r="A60" s="107" t="inlineStr"/>
      <c r="B60" s="107" t="inlineStr">
        <is>
          <t>2020-11-16</t>
        </is>
      </c>
      <c r="C60" s="107" t="inlineStr">
        <is>
          <t>B+</t>
        </is>
      </c>
      <c r="D60" s="107" t="inlineStr">
        <is>
          <t>3/4</t>
        </is>
      </c>
      <c r="E60"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61" hidden="1" outlineLevel="1" ht="75" customHeight="1">
      <c r="A61" s="105" t="inlineStr"/>
      <c r="B61" s="105" t="inlineStr">
        <is>
          <t>2020-11-14</t>
        </is>
      </c>
      <c r="C61" s="105" t="inlineStr">
        <is>
          <t>Not sure yet</t>
        </is>
      </c>
      <c r="D61" s="105" t="inlineStr">
        <is>
          <t>5/2</t>
        </is>
      </c>
      <c r="E61"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62" hidden="1" outlineLevel="1" ht="90" customHeight="1">
      <c r="A62" s="107" t="inlineStr"/>
      <c r="B62" s="107" t="inlineStr">
        <is>
          <t>2020-11-11</t>
        </is>
      </c>
      <c r="C62" s="107" t="inlineStr">
        <is>
          <t>-</t>
        </is>
      </c>
      <c r="D62" s="107" t="inlineStr">
        <is>
          <t>5/4</t>
        </is>
      </c>
      <c r="E62"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63" hidden="1" outlineLevel="1" ht="75" customHeight="1">
      <c r="A63" s="105" t="inlineStr"/>
      <c r="B63" s="105" t="inlineStr">
        <is>
          <t>2020-06-04</t>
        </is>
      </c>
      <c r="C63" s="105" t="inlineStr">
        <is>
          <t>A</t>
        </is>
      </c>
      <c r="D63" s="105" t="inlineStr">
        <is>
          <t>4/1</t>
        </is>
      </c>
      <c r="E63"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64" hidden="1" outlineLevel="1" ht="60" customHeight="1">
      <c r="A64" s="107" t="inlineStr"/>
      <c r="B64" s="107" t="inlineStr">
        <is>
          <t>2020-05-20</t>
        </is>
      </c>
      <c r="C64" s="107" t="inlineStr">
        <is>
          <t>A</t>
        </is>
      </c>
      <c r="D64" s="107" t="inlineStr">
        <is>
          <t>5/1</t>
        </is>
      </c>
      <c r="E64"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65" hidden="1" outlineLevel="1" ht="75" customHeight="1">
      <c r="A65" s="105" t="inlineStr"/>
      <c r="B65" s="105" t="inlineStr">
        <is>
          <t>2020-05-03</t>
        </is>
      </c>
      <c r="C65" s="105" t="inlineStr">
        <is>
          <t>-</t>
        </is>
      </c>
      <c r="D65" s="105" t="inlineStr">
        <is>
          <t>5/3</t>
        </is>
      </c>
      <c r="E65"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66" hidden="1" outlineLevel="1" ht="30" customHeight="1">
      <c r="A66" s="107" t="inlineStr"/>
      <c r="B66" s="107" t="inlineStr">
        <is>
          <t>2020-01-16</t>
        </is>
      </c>
      <c r="C66" s="107" t="inlineStr">
        <is>
          <t>-</t>
        </is>
      </c>
      <c r="D66" s="107" t="inlineStr">
        <is>
          <t>5/1</t>
        </is>
      </c>
      <c r="E66" s="11" t="inlineStr">
        <is>
          <t>Awesome professor</t>
        </is>
      </c>
    </row>
    <row r="67" hidden="1" outlineLevel="1" ht="90" customHeight="1">
      <c r="A67" s="105" t="inlineStr"/>
      <c r="B67" s="105" t="inlineStr">
        <is>
          <t>2019-11-20</t>
        </is>
      </c>
      <c r="C67" s="105" t="inlineStr">
        <is>
          <t>-</t>
        </is>
      </c>
      <c r="D67" s="105" t="inlineStr">
        <is>
          <t>5/2</t>
        </is>
      </c>
      <c r="E67"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68" hidden="1" outlineLevel="1" ht="75" customHeight="1">
      <c r="A68" s="107" t="inlineStr"/>
      <c r="B68" s="107" t="inlineStr">
        <is>
          <t>2018-11-30</t>
        </is>
      </c>
      <c r="C68" s="107" t="inlineStr">
        <is>
          <t>-</t>
        </is>
      </c>
      <c r="D68" s="107" t="inlineStr">
        <is>
          <t>5/3</t>
        </is>
      </c>
      <c r="E68"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69" hidden="1" outlineLevel="1" ht="30" customHeight="1">
      <c r="A69" s="106" t="inlineStr">
        <is>
          <t>ECON-351</t>
        </is>
      </c>
      <c r="B69" s="107" t="inlineStr">
        <is>
          <t>2026-02-25</t>
        </is>
      </c>
      <c r="C69" s="107" t="inlineStr">
        <is>
          <t>A</t>
        </is>
      </c>
      <c r="D69" s="107" t="inlineStr">
        <is>
          <t>5/1</t>
        </is>
      </c>
      <c r="E69" s="11" t="inlineStr">
        <is>
          <t>The tests are easy if you just do the practice sets. He's great at explanations. [Amazing lectures, So many papers, Graded by few things]</t>
        </is>
      </c>
    </row>
    <row r="70" hidden="1" outlineLevel="1" ht="75" customHeight="1">
      <c r="A70" s="105" t="inlineStr"/>
      <c r="B70" s="105" t="inlineStr">
        <is>
          <t>2026-01-27</t>
        </is>
      </c>
      <c r="C70" s="105" t="inlineStr">
        <is>
          <t>C-</t>
        </is>
      </c>
      <c r="D70" s="105" t="inlineStr">
        <is>
          <t>5/4</t>
        </is>
      </c>
      <c r="E70"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71" hidden="1" outlineLevel="1" ht="60" customHeight="1">
      <c r="A71" s="107" t="inlineStr"/>
      <c r="B71" s="107" t="inlineStr">
        <is>
          <t>2026-01-07</t>
        </is>
      </c>
      <c r="C71" s="107" t="inlineStr">
        <is>
          <t>A</t>
        </is>
      </c>
      <c r="D71" s="107" t="inlineStr">
        <is>
          <t>4/3</t>
        </is>
      </c>
      <c r="E71"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72" hidden="1" outlineLevel="1" ht="75" customHeight="1">
      <c r="A72" s="105" t="inlineStr"/>
      <c r="B72" s="105" t="inlineStr">
        <is>
          <t>2026-01-06</t>
        </is>
      </c>
      <c r="C72" s="105" t="inlineStr">
        <is>
          <t>C-</t>
        </is>
      </c>
      <c r="D72" s="105" t="inlineStr">
        <is>
          <t>3/4</t>
        </is>
      </c>
      <c r="E72"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73" hidden="1" outlineLevel="1" ht="90" customHeight="1">
      <c r="A73" s="107" t="inlineStr"/>
      <c r="B73" s="107" t="inlineStr">
        <is>
          <t>2025-12-30</t>
        </is>
      </c>
      <c r="C73" s="107" t="inlineStr">
        <is>
          <t>A</t>
        </is>
      </c>
      <c r="D73" s="107" t="inlineStr">
        <is>
          <t>4/4</t>
        </is>
      </c>
      <c r="E73"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74" hidden="1" outlineLevel="1" ht="75" customHeight="1">
      <c r="A74" s="105" t="inlineStr"/>
      <c r="B74" s="105" t="inlineStr">
        <is>
          <t>2025-12-24</t>
        </is>
      </c>
      <c r="C74" s="105" t="inlineStr">
        <is>
          <t>A</t>
        </is>
      </c>
      <c r="D74" s="105" t="inlineStr">
        <is>
          <t>5/3</t>
        </is>
      </c>
      <c r="E74"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75" hidden="1" outlineLevel="1" ht="60" customHeight="1">
      <c r="A75" s="107" t="inlineStr"/>
      <c r="B75" s="107" t="inlineStr">
        <is>
          <t>2025-12-16</t>
        </is>
      </c>
      <c r="C75" s="107" t="inlineStr">
        <is>
          <t>A</t>
        </is>
      </c>
      <c r="D75" s="107" t="inlineStr">
        <is>
          <t>5/3</t>
        </is>
      </c>
      <c r="E75"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76" hidden="1" outlineLevel="1" ht="75" customHeight="1">
      <c r="A76" s="105" t="inlineStr"/>
      <c r="B76" s="105" t="inlineStr">
        <is>
          <t>2025-12-11</t>
        </is>
      </c>
      <c r="C76" s="105" t="inlineStr">
        <is>
          <t>Not sure yet</t>
        </is>
      </c>
      <c r="D76" s="105" t="inlineStr">
        <is>
          <t>5/3</t>
        </is>
      </c>
      <c r="E76"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77" hidden="1" outlineLevel="1" ht="75" customHeight="1">
      <c r="A77" s="107" t="inlineStr"/>
      <c r="B77" s="107" t="inlineStr">
        <is>
          <t>2025-12-05</t>
        </is>
      </c>
      <c r="C77" s="107" t="inlineStr">
        <is>
          <t>Drop/Withdrawal</t>
        </is>
      </c>
      <c r="D77" s="107" t="inlineStr">
        <is>
          <t>1/5</t>
        </is>
      </c>
      <c r="E77"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78" hidden="1" outlineLevel="1" ht="60" customHeight="1">
      <c r="A78" s="105" t="inlineStr"/>
      <c r="B78" s="105" t="inlineStr">
        <is>
          <t>2025-12-04</t>
        </is>
      </c>
      <c r="C78" s="105" t="inlineStr">
        <is>
          <t>Not sure yet</t>
        </is>
      </c>
      <c r="D78" s="105" t="inlineStr">
        <is>
          <t>1/5</t>
        </is>
      </c>
      <c r="E78" s="8" t="inlineStr">
        <is>
          <t>- Genuinely moves at the speed of light - Is accessible outside of class, but truly have to grind for an A - Exams are super hard, homeworks are free - Professor is a bit condescending but means well [Lecture heavy, Test heavy, Graded by few things]</t>
        </is>
      </c>
    </row>
    <row r="79" hidden="1" outlineLevel="1" ht="45" customHeight="1">
      <c r="A79" s="107" t="inlineStr"/>
      <c r="B79" s="107" t="inlineStr">
        <is>
          <t>2025-11-17</t>
        </is>
      </c>
      <c r="C79" s="107" t="inlineStr">
        <is>
          <t>Not sure yet</t>
        </is>
      </c>
      <c r="D79" s="107" t="inlineStr">
        <is>
          <t>3/4</t>
        </is>
      </c>
      <c r="E79" s="11" t="inlineStr">
        <is>
          <t>His accent and super fast pace of the class/lecture make it so hard to understand. The class is already hard and the speed of the lectures make this so hard [Lecture heavy, Graded by few things]</t>
        </is>
      </c>
    </row>
    <row r="80" hidden="1" outlineLevel="1" ht="75" customHeight="1">
      <c r="A80" s="105" t="inlineStr"/>
      <c r="B80" s="105" t="inlineStr">
        <is>
          <t>2025-10-16</t>
        </is>
      </c>
      <c r="C80" s="105" t="inlineStr">
        <is>
          <t>Not sure yet</t>
        </is>
      </c>
      <c r="D80" s="105" t="inlineStr">
        <is>
          <t>5/3</t>
        </is>
      </c>
      <c r="E80"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81" hidden="1" outlineLevel="1" ht="30" customHeight="1">
      <c r="A81" s="107" t="inlineStr"/>
      <c r="B81" s="107" t="inlineStr">
        <is>
          <t>2025-10-15</t>
        </is>
      </c>
      <c r="C81" s="107" t="inlineStr">
        <is>
          <t>-</t>
        </is>
      </c>
      <c r="D81" s="107" t="inlineStr">
        <is>
          <t>5/2</t>
        </is>
      </c>
      <c r="E81" s="11" t="inlineStr">
        <is>
          <t>Fantastic Professor. Easy looking at. Funny guy. Muy bien</t>
        </is>
      </c>
    </row>
    <row r="82" hidden="1" outlineLevel="1" ht="45" customHeight="1">
      <c r="A82" s="105" t="inlineStr"/>
      <c r="B82" s="105" t="inlineStr">
        <is>
          <t>2025-10-06</t>
        </is>
      </c>
      <c r="C82" s="105" t="inlineStr">
        <is>
          <t>Not sure yet</t>
        </is>
      </c>
      <c r="D82" s="105" t="inlineStr">
        <is>
          <t>4/2</t>
        </is>
      </c>
      <c r="E82" s="8" t="inlineStr">
        <is>
          <t>Talks too fast and is hard to understand because of his accent. He mostly reads off the slides. But fun classes and passionate lecturer who encourages questions. He also uses real life examples which is useful.</t>
        </is>
      </c>
    </row>
    <row r="83" hidden="1" outlineLevel="1" ht="60" customHeight="1">
      <c r="A83" s="107" t="inlineStr"/>
      <c r="B83" s="107" t="inlineStr">
        <is>
          <t>2025-10-06</t>
        </is>
      </c>
      <c r="C83" s="107" t="inlineStr">
        <is>
          <t>Not sure yet</t>
        </is>
      </c>
      <c r="D83" s="107" t="inlineStr">
        <is>
          <t>1/4</t>
        </is>
      </c>
      <c r="E83"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84" hidden="1" outlineLevel="1" ht="45" customHeight="1">
      <c r="A84" s="105" t="inlineStr"/>
      <c r="B84" s="105" t="inlineStr">
        <is>
          <t>2025-10-06</t>
        </is>
      </c>
      <c r="C84" s="105" t="inlineStr">
        <is>
          <t>Not sure yet</t>
        </is>
      </c>
      <c r="D84" s="105" t="inlineStr">
        <is>
          <t>5/4</t>
        </is>
      </c>
      <c r="E84" s="8" t="inlineStr">
        <is>
          <t>no glaze, he's a really good professor and explained concepts very well. Would take him again every single time if I could choose. [Amazing lectures, Inspirational, Caring]</t>
        </is>
      </c>
    </row>
    <row r="85" hidden="1" outlineLevel="1" ht="45" customHeight="1">
      <c r="A85" s="107" t="inlineStr"/>
      <c r="B85" s="107" t="inlineStr">
        <is>
          <t>2025-06-25</t>
        </is>
      </c>
      <c r="C85" s="107" t="inlineStr">
        <is>
          <t>A</t>
        </is>
      </c>
      <c r="D85" s="107" t="inlineStr">
        <is>
          <t>5/2</t>
        </is>
      </c>
      <c r="E85" s="11" t="inlineStr">
        <is>
          <t>Best professor I've had at USC. Took his econ351 class in fall 2024 and learned so much. Class is on Marshall curve so its competitive to get an A, but it wasn't that hard. [Inspirational, Lecture heavy, Graded by few things]</t>
        </is>
      </c>
    </row>
    <row r="86" hidden="1" outlineLevel="1" ht="75" customHeight="1">
      <c r="A86" s="105" t="inlineStr"/>
      <c r="B86" s="105" t="inlineStr">
        <is>
          <t>2025-05-30</t>
        </is>
      </c>
      <c r="C86" s="105" t="inlineStr">
        <is>
          <t>A</t>
        </is>
      </c>
      <c r="D86" s="105" t="inlineStr">
        <is>
          <t>5/2</t>
        </is>
      </c>
      <c r="E86"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87" hidden="1" outlineLevel="1" ht="60" customHeight="1">
      <c r="A87" s="107" t="inlineStr"/>
      <c r="B87" s="107" t="inlineStr">
        <is>
          <t>2025-05-17</t>
        </is>
      </c>
      <c r="C87" s="107" t="inlineStr">
        <is>
          <t>A</t>
        </is>
      </c>
      <c r="D87" s="107" t="inlineStr">
        <is>
          <t>5/2</t>
        </is>
      </c>
      <c r="E87"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88" hidden="1" outlineLevel="1" ht="75" customHeight="1">
      <c r="A88" s="105" t="inlineStr"/>
      <c r="B88" s="105" t="inlineStr">
        <is>
          <t>2025-05-01</t>
        </is>
      </c>
      <c r="C88" s="105" t="inlineStr">
        <is>
          <t>B-</t>
        </is>
      </c>
      <c r="D88" s="105" t="inlineStr">
        <is>
          <t>2/5</t>
        </is>
      </c>
      <c r="E88"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89" hidden="1" outlineLevel="1" ht="30" customHeight="1">
      <c r="A89" s="107" t="inlineStr"/>
      <c r="B89" s="107" t="inlineStr">
        <is>
          <t>2025-01-29</t>
        </is>
      </c>
      <c r="C89" s="107" t="inlineStr">
        <is>
          <t>Not sure yet</t>
        </is>
      </c>
      <c r="D89" s="107" t="inlineStr">
        <is>
          <t>5/5</t>
        </is>
      </c>
      <c r="E89" s="11" t="inlineStr">
        <is>
          <t>He's so easy to look at&amp;#8230; take him [Tough grader, EXTRA CREDIT, Amazing lectures]</t>
        </is>
      </c>
    </row>
    <row r="90" hidden="1" outlineLevel="1" ht="75" customHeight="1">
      <c r="A90" s="105" t="inlineStr"/>
      <c r="B90" s="105" t="inlineStr">
        <is>
          <t>2025-01-18</t>
        </is>
      </c>
      <c r="C90" s="105" t="inlineStr">
        <is>
          <t>A</t>
        </is>
      </c>
      <c r="D90" s="105" t="inlineStr">
        <is>
          <t>5/2</t>
        </is>
      </c>
      <c r="E90"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91" hidden="1" outlineLevel="1" ht="60" customHeight="1">
      <c r="A91" s="107" t="inlineStr"/>
      <c r="B91" s="107" t="inlineStr">
        <is>
          <t>2025-01-10</t>
        </is>
      </c>
      <c r="C91" s="107" t="inlineStr">
        <is>
          <t>B</t>
        </is>
      </c>
      <c r="D91" s="107" t="inlineStr">
        <is>
          <t>2/4</t>
        </is>
      </c>
      <c r="E91"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92" hidden="1" outlineLevel="1" ht="60" customHeight="1">
      <c r="A92" s="105" t="inlineStr"/>
      <c r="B92" s="105" t="inlineStr">
        <is>
          <t>2025-01-02</t>
        </is>
      </c>
      <c r="C92" s="105" t="inlineStr">
        <is>
          <t>Not sure yet</t>
        </is>
      </c>
      <c r="D92" s="105" t="inlineStr">
        <is>
          <t>3/5</t>
        </is>
      </c>
      <c r="E92"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93" hidden="1" outlineLevel="1" ht="75" customHeight="1">
      <c r="A93" s="107" t="inlineStr"/>
      <c r="B93" s="107" t="inlineStr">
        <is>
          <t>2024-12-28</t>
        </is>
      </c>
      <c r="C93" s="107" t="inlineStr">
        <is>
          <t>A</t>
        </is>
      </c>
      <c r="D93" s="107" t="inlineStr">
        <is>
          <t>5/3</t>
        </is>
      </c>
      <c r="E93"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94" hidden="1" outlineLevel="1" ht="30" customHeight="1">
      <c r="A94" s="105" t="inlineStr"/>
      <c r="B94" s="105" t="inlineStr">
        <is>
          <t>2024-12-21</t>
        </is>
      </c>
      <c r="C94" s="105" t="inlineStr">
        <is>
          <t>A</t>
        </is>
      </c>
      <c r="D94" s="105" t="inlineStr">
        <is>
          <t>5/3</t>
        </is>
      </c>
      <c r="E94" s="8" t="inlineStr">
        <is>
          <t>Awesome professor. Lectures are interesting and exams are very similar to practice tests. [Amazing lectures, Clear grading criteria, Graded by few things]</t>
        </is>
      </c>
    </row>
    <row r="95" hidden="1" outlineLevel="1" ht="75" customHeight="1">
      <c r="A95" s="107" t="inlineStr"/>
      <c r="B95" s="107" t="inlineStr">
        <is>
          <t>2024-12-21</t>
        </is>
      </c>
      <c r="C95" s="107" t="inlineStr">
        <is>
          <t>B+</t>
        </is>
      </c>
      <c r="D95" s="107" t="inlineStr">
        <is>
          <t>4/5</t>
        </is>
      </c>
      <c r="E95"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96" hidden="1" outlineLevel="1" ht="75" customHeight="1">
      <c r="A96" s="105" t="inlineStr"/>
      <c r="B96" s="105" t="inlineStr">
        <is>
          <t>2024-12-20</t>
        </is>
      </c>
      <c r="C96" s="105" t="inlineStr">
        <is>
          <t>A</t>
        </is>
      </c>
      <c r="D96" s="105" t="inlineStr">
        <is>
          <t>5/3</t>
        </is>
      </c>
      <c r="E96"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97" hidden="1" outlineLevel="1" ht="45" customHeight="1">
      <c r="A97" s="107" t="inlineStr"/>
      <c r="B97" s="107" t="inlineStr">
        <is>
          <t>2024-12-20</t>
        </is>
      </c>
      <c r="C97" s="107" t="inlineStr">
        <is>
          <t>A</t>
        </is>
      </c>
      <c r="D97" s="107" t="inlineStr">
        <is>
          <t>5/3</t>
        </is>
      </c>
      <c r="E97" s="11" t="inlineStr">
        <is>
          <t>Amazing professor! He includes real-world applications, which helps with understanding. And, I thought the class aligned with what he shared on the first day. Overall could not recommend more! [Amazing lectures, Caring]</t>
        </is>
      </c>
    </row>
    <row r="98" hidden="1" outlineLevel="1" ht="60" customHeight="1">
      <c r="A98" s="105" t="inlineStr"/>
      <c r="B98" s="105" t="inlineStr">
        <is>
          <t>2024-12-19</t>
        </is>
      </c>
      <c r="C98" s="105" t="inlineStr">
        <is>
          <t>A</t>
        </is>
      </c>
      <c r="D98" s="105" t="inlineStr">
        <is>
          <t>5/2</t>
        </is>
      </c>
      <c r="E98"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99" hidden="1" outlineLevel="1" ht="75" customHeight="1">
      <c r="A99" s="107" t="inlineStr"/>
      <c r="B99" s="107" t="inlineStr">
        <is>
          <t>2024-12-05</t>
        </is>
      </c>
      <c r="C99" s="107" t="inlineStr">
        <is>
          <t>A</t>
        </is>
      </c>
      <c r="D99" s="107" t="inlineStr">
        <is>
          <t>5/3</t>
        </is>
      </c>
      <c r="E99"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00" hidden="1" outlineLevel="1" ht="75" customHeight="1">
      <c r="A100" s="105" t="inlineStr"/>
      <c r="B100" s="105" t="inlineStr">
        <is>
          <t>2024-12-05</t>
        </is>
      </c>
      <c r="C100" s="105" t="inlineStr">
        <is>
          <t>-</t>
        </is>
      </c>
      <c r="D100" s="105" t="inlineStr">
        <is>
          <t>5/2</t>
        </is>
      </c>
      <c r="E100"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01" hidden="1" outlineLevel="1" ht="60" customHeight="1">
      <c r="A101" s="107" t="inlineStr"/>
      <c r="B101" s="107" t="inlineStr">
        <is>
          <t>2024-12-04</t>
        </is>
      </c>
      <c r="C101" s="107" t="inlineStr">
        <is>
          <t>Not sure yet</t>
        </is>
      </c>
      <c r="D101" s="107" t="inlineStr">
        <is>
          <t>5/1</t>
        </is>
      </c>
      <c r="E101" s="11" t="inlineStr">
        <is>
          <t>Professor Alejandro is awesome. His lecture is inspirational and well-explained. I love the vibe of his class, and the tests are always easy as long as you finish the sample problems. [Amazing lectures, Inspirational, Accessible outside class]</t>
        </is>
      </c>
    </row>
    <row r="102" hidden="1" outlineLevel="1" ht="75" customHeight="1">
      <c r="A102" s="105" t="inlineStr"/>
      <c r="B102" s="105" t="inlineStr">
        <is>
          <t>2024-12-03</t>
        </is>
      </c>
      <c r="C102" s="105" t="inlineStr">
        <is>
          <t>Not sure yet</t>
        </is>
      </c>
      <c r="D102" s="105" t="inlineStr">
        <is>
          <t>5/3</t>
        </is>
      </c>
      <c r="E102"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03" hidden="1" outlineLevel="1" ht="75" customHeight="1">
      <c r="A103" s="107" t="inlineStr"/>
      <c r="B103" s="107" t="inlineStr">
        <is>
          <t>2024-11-13</t>
        </is>
      </c>
      <c r="C103" s="107" t="inlineStr">
        <is>
          <t>A</t>
        </is>
      </c>
      <c r="D103" s="107" t="inlineStr">
        <is>
          <t>5/3</t>
        </is>
      </c>
      <c r="E103"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04" hidden="1" outlineLevel="1" ht="45" customHeight="1">
      <c r="A104" s="105" t="inlineStr"/>
      <c r="B104" s="105" t="inlineStr">
        <is>
          <t>2024-11-13</t>
        </is>
      </c>
      <c r="C104" s="105" t="inlineStr">
        <is>
          <t>Not sure yet</t>
        </is>
      </c>
      <c r="D104" s="105" t="inlineStr">
        <is>
          <t>5/2</t>
        </is>
      </c>
      <c r="E104" s="8" t="inlineStr">
        <is>
          <t>&amp;#128016;&amp;#128016;&amp;#128016;&amp;#128016;&amp;#128016;&amp;#128016;&amp;#128016;&amp;#128016;&amp;#128016;&amp;#128016;&amp;#128016;&amp;#128016;&amp;#128016;&amp;#128016;&amp;#128016;&amp;#128016;&amp;#128016;&amp;#128016;&amp;#128016;&amp;#128016;</t>
        </is>
      </c>
    </row>
    <row r="105" hidden="1" outlineLevel="1" ht="90" customHeight="1">
      <c r="A105" s="107" t="inlineStr"/>
      <c r="B105" s="107" t="inlineStr">
        <is>
          <t>2024-11-11</t>
        </is>
      </c>
      <c r="C105" s="107" t="inlineStr">
        <is>
          <t>-</t>
        </is>
      </c>
      <c r="D105" s="107" t="inlineStr">
        <is>
          <t>5/3</t>
        </is>
      </c>
      <c r="E105"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06" hidden="1" outlineLevel="1" ht="30" customHeight="1">
      <c r="A106" s="105" t="inlineStr"/>
      <c r="B106" s="105" t="inlineStr">
        <is>
          <t>2024-10-22</t>
        </is>
      </c>
      <c r="C106" s="105" t="inlineStr">
        <is>
          <t>A</t>
        </is>
      </c>
      <c r="D106" s="105" t="inlineStr">
        <is>
          <t>5/3</t>
        </is>
      </c>
      <c r="E106" s="8" t="inlineStr">
        <is>
          <t>Exam questions are very similar to the practice sets he provides. Wants you to do well. [Caring, Test heavy, Graded by few things]</t>
        </is>
      </c>
    </row>
    <row r="107" hidden="1" outlineLevel="1" ht="75" customHeight="1">
      <c r="A107" s="107" t="inlineStr"/>
      <c r="B107" s="107" t="inlineStr">
        <is>
          <t>2024-08-01</t>
        </is>
      </c>
      <c r="C107" s="107" t="inlineStr">
        <is>
          <t>A-</t>
        </is>
      </c>
      <c r="D107" s="107" t="inlineStr">
        <is>
          <t>5/2</t>
        </is>
      </c>
      <c r="E107"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08" hidden="1" outlineLevel="1" ht="60" customHeight="1">
      <c r="A108" s="105" t="inlineStr"/>
      <c r="B108" s="105" t="inlineStr">
        <is>
          <t>2024-06-22</t>
        </is>
      </c>
      <c r="C108" s="105" t="inlineStr">
        <is>
          <t>A</t>
        </is>
      </c>
      <c r="D108" s="105" t="inlineStr">
        <is>
          <t>5/3</t>
        </is>
      </c>
      <c r="E108"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09" hidden="1" outlineLevel="1" ht="45" customHeight="1">
      <c r="A109" s="107" t="inlineStr"/>
      <c r="B109" s="107" t="inlineStr">
        <is>
          <t>2024-06-19</t>
        </is>
      </c>
      <c r="C109" s="107" t="inlineStr">
        <is>
          <t>A-</t>
        </is>
      </c>
      <c r="D109" s="107" t="inlineStr">
        <is>
          <t>5/3</t>
        </is>
      </c>
      <c r="E109" s="11" t="inlineStr">
        <is>
          <t>I never went to his office hours and skipped around 70% of classes and still got a decent grade. He is a good lecturer and grades aren't hard to get. PLEASE do practice questions because exam questions are 80% based on them.</t>
        </is>
      </c>
    </row>
    <row r="110" hidden="1" outlineLevel="1" ht="75" customHeight="1">
      <c r="A110" s="105" t="inlineStr"/>
      <c r="B110" s="105" t="inlineStr">
        <is>
          <t>2024-05-28</t>
        </is>
      </c>
      <c r="C110" s="105" t="inlineStr">
        <is>
          <t>A</t>
        </is>
      </c>
      <c r="D110" s="105" t="inlineStr">
        <is>
          <t>5/2</t>
        </is>
      </c>
      <c r="E110"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11" hidden="1" outlineLevel="1" ht="75" customHeight="1">
      <c r="A111" s="107" t="inlineStr"/>
      <c r="B111" s="107" t="inlineStr">
        <is>
          <t>2024-05-19</t>
        </is>
      </c>
      <c r="C111" s="107" t="inlineStr">
        <is>
          <t>A</t>
        </is>
      </c>
      <c r="D111" s="107" t="inlineStr">
        <is>
          <t>5/1</t>
        </is>
      </c>
      <c r="E111"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12" hidden="1" outlineLevel="1" ht="75" customHeight="1">
      <c r="A112" s="105" t="inlineStr"/>
      <c r="B112" s="105" t="inlineStr">
        <is>
          <t>2024-05-10</t>
        </is>
      </c>
      <c r="C112" s="105" t="inlineStr">
        <is>
          <t>A</t>
        </is>
      </c>
      <c r="D112" s="105" t="inlineStr">
        <is>
          <t>5/3</t>
        </is>
      </c>
      <c r="E112"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13" hidden="1" outlineLevel="1" ht="90" customHeight="1">
      <c r="A113" s="107" t="inlineStr"/>
      <c r="B113" s="107" t="inlineStr">
        <is>
          <t>2024-05-02</t>
        </is>
      </c>
      <c r="C113" s="107" t="inlineStr">
        <is>
          <t>A+</t>
        </is>
      </c>
      <c r="D113" s="107" t="inlineStr">
        <is>
          <t>5/2</t>
        </is>
      </c>
      <c r="E113"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14" hidden="1" outlineLevel="1" ht="30" customHeight="1">
      <c r="A114" s="105" t="inlineStr"/>
      <c r="B114" s="105" t="inlineStr">
        <is>
          <t>2024-05-02</t>
        </is>
      </c>
      <c r="C114" s="105" t="inlineStr">
        <is>
          <t>A+</t>
        </is>
      </c>
      <c r="D114" s="105" t="inlineStr">
        <is>
          <t>5/3</t>
        </is>
      </c>
      <c r="E114" s="8" t="inlineStr">
        <is>
          <t>351 is a hard class and he's easily the best teacher for it. [Caring, Test heavy, Accessible outside class]</t>
        </is>
      </c>
    </row>
    <row r="115" hidden="1" outlineLevel="1" ht="75" customHeight="1">
      <c r="A115" s="107" t="inlineStr"/>
      <c r="B115" s="107" t="inlineStr">
        <is>
          <t>2024-05-02</t>
        </is>
      </c>
      <c r="C115" s="107" t="inlineStr">
        <is>
          <t>A</t>
        </is>
      </c>
      <c r="D115" s="107" t="inlineStr">
        <is>
          <t>5/3</t>
        </is>
      </c>
      <c r="E115"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16" hidden="1" outlineLevel="1" ht="45" customHeight="1">
      <c r="A116" s="105" t="inlineStr"/>
      <c r="B116" s="105" t="inlineStr">
        <is>
          <t>2024-04-25</t>
        </is>
      </c>
      <c r="C116" s="105" t="inlineStr">
        <is>
          <t>Not sure yet</t>
        </is>
      </c>
      <c r="D116" s="105" t="inlineStr">
        <is>
          <t>5/3</t>
        </is>
      </c>
      <c r="E116" s="8" t="inlineStr">
        <is>
          <t>Tests are very similar to practice problems, and lectures are easy to follow. If you show up to class it is very manageable! [Amazing lectures, Clear grading criteria, Gives good feedback]</t>
        </is>
      </c>
    </row>
    <row r="117" hidden="1" outlineLevel="1" ht="75" customHeight="1">
      <c r="A117" s="107" t="inlineStr"/>
      <c r="B117" s="107" t="inlineStr">
        <is>
          <t>2024-04-16</t>
        </is>
      </c>
      <c r="C117" s="107" t="inlineStr">
        <is>
          <t>Not sure yet</t>
        </is>
      </c>
      <c r="D117" s="107" t="inlineStr">
        <is>
          <t>5/3</t>
        </is>
      </c>
      <c r="E117"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18" hidden="1" outlineLevel="1" ht="60" customHeight="1">
      <c r="A118" s="105" t="inlineStr"/>
      <c r="B118" s="105" t="inlineStr">
        <is>
          <t>2024-04-15</t>
        </is>
      </c>
      <c r="C118" s="105" t="inlineStr">
        <is>
          <t>A</t>
        </is>
      </c>
      <c r="D118" s="105" t="inlineStr">
        <is>
          <t>5/2</t>
        </is>
      </c>
      <c r="E118"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19" hidden="1" outlineLevel="1" ht="75" customHeight="1">
      <c r="A119" s="107" t="inlineStr"/>
      <c r="B119" s="107" t="inlineStr">
        <is>
          <t>2024-04-02</t>
        </is>
      </c>
      <c r="C119" s="107" t="inlineStr">
        <is>
          <t>A</t>
        </is>
      </c>
      <c r="D119" s="107" t="inlineStr">
        <is>
          <t>5/4</t>
        </is>
      </c>
      <c r="E119"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20" hidden="1" outlineLevel="1" ht="30" customHeight="1">
      <c r="A120" s="105" t="inlineStr"/>
      <c r="B120" s="105" t="inlineStr">
        <is>
          <t>2023-10-25</t>
        </is>
      </c>
      <c r="C120" s="105" t="inlineStr">
        <is>
          <t>A</t>
        </is>
      </c>
      <c r="D120" s="105" t="inlineStr">
        <is>
          <t>5/1</t>
        </is>
      </c>
      <c r="E120" s="8" t="inlineStr">
        <is>
          <t>great professor with clear lectures, easy homework and tests [Amazing lectures, Caring, Respected]</t>
        </is>
      </c>
    </row>
    <row r="121" hidden="1" outlineLevel="1" ht="75" customHeight="1">
      <c r="A121" s="107" t="inlineStr"/>
      <c r="B121" s="107" t="inlineStr">
        <is>
          <t>2023-06-21</t>
        </is>
      </c>
      <c r="C121" s="107" t="inlineStr">
        <is>
          <t>A</t>
        </is>
      </c>
      <c r="D121" s="107" t="inlineStr">
        <is>
          <t>5/3</t>
        </is>
      </c>
      <c r="E121"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22" hidden="1" outlineLevel="1" ht="75" customHeight="1">
      <c r="A122" s="105" t="inlineStr"/>
      <c r="B122" s="105" t="inlineStr">
        <is>
          <t>2023-05-26</t>
        </is>
      </c>
      <c r="C122" s="105" t="inlineStr">
        <is>
          <t>B</t>
        </is>
      </c>
      <c r="D122" s="105" t="inlineStr">
        <is>
          <t>5/5</t>
        </is>
      </c>
      <c r="E122"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23" hidden="1" outlineLevel="1" ht="60" customHeight="1">
      <c r="A123" s="107" t="inlineStr"/>
      <c r="B123" s="107" t="inlineStr">
        <is>
          <t>2023-05-09</t>
        </is>
      </c>
      <c r="C123" s="107" t="inlineStr">
        <is>
          <t>Not sure yet</t>
        </is>
      </c>
      <c r="D123" s="107" t="inlineStr">
        <is>
          <t>5/3</t>
        </is>
      </c>
      <c r="E123"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24" hidden="1" outlineLevel="1" ht="90" customHeight="1">
      <c r="A124" s="105" t="inlineStr"/>
      <c r="B124" s="105" t="inlineStr">
        <is>
          <t>2023-05-06</t>
        </is>
      </c>
      <c r="C124" s="105" t="inlineStr">
        <is>
          <t>-</t>
        </is>
      </c>
      <c r="D124" s="105" t="inlineStr">
        <is>
          <t>5/4</t>
        </is>
      </c>
      <c r="E124"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25" hidden="1" outlineLevel="1" ht="75" customHeight="1">
      <c r="A125" s="107" t="inlineStr"/>
      <c r="B125" s="107" t="inlineStr">
        <is>
          <t>2023-04-26</t>
        </is>
      </c>
      <c r="C125" s="107" t="inlineStr">
        <is>
          <t>A</t>
        </is>
      </c>
      <c r="D125" s="107" t="inlineStr">
        <is>
          <t>5/2</t>
        </is>
      </c>
      <c r="E125"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26" hidden="1" outlineLevel="1" ht="75" customHeight="1">
      <c r="A126" s="105" t="inlineStr"/>
      <c r="B126" s="105" t="inlineStr">
        <is>
          <t>2023-04-26</t>
        </is>
      </c>
      <c r="C126" s="105" t="inlineStr">
        <is>
          <t>A</t>
        </is>
      </c>
      <c r="D126" s="105" t="inlineStr">
        <is>
          <t>5/3</t>
        </is>
      </c>
      <c r="E126"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27" hidden="1" outlineLevel="1" ht="75" customHeight="1">
      <c r="A127" s="107" t="inlineStr"/>
      <c r="B127" s="107" t="inlineStr">
        <is>
          <t>2023-04-06</t>
        </is>
      </c>
      <c r="C127" s="107" t="inlineStr">
        <is>
          <t>-</t>
        </is>
      </c>
      <c r="D127" s="107" t="inlineStr">
        <is>
          <t>5/3</t>
        </is>
      </c>
      <c r="E127"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28" hidden="1" outlineLevel="1" ht="60" customHeight="1">
      <c r="A128" s="105" t="inlineStr"/>
      <c r="B128" s="105" t="inlineStr">
        <is>
          <t>2023-04-06</t>
        </is>
      </c>
      <c r="C128" s="105" t="inlineStr">
        <is>
          <t>A</t>
        </is>
      </c>
      <c r="D128" s="105" t="inlineStr">
        <is>
          <t>5/4</t>
        </is>
      </c>
      <c r="E128" s="8" t="inlineStr">
        <is>
          <t>Thought he was going to be hard since he was new, but ended up being one of the most chill professors I've had. Makes homework harder than the exams, but uses examples similar to slides. Keeps lectures entertaining. [Amazing lectures, Caring]</t>
        </is>
      </c>
    </row>
    <row r="129" hidden="1" outlineLevel="1" ht="75" customHeight="1">
      <c r="A129" s="107" t="inlineStr"/>
      <c r="B129" s="107" t="inlineStr">
        <is>
          <t>2023-04-05</t>
        </is>
      </c>
      <c r="C129" s="107" t="inlineStr">
        <is>
          <t>Incomplete</t>
        </is>
      </c>
      <c r="D129" s="107" t="inlineStr">
        <is>
          <t>5/5</t>
        </is>
      </c>
      <c r="E129"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30" hidden="1" outlineLevel="1" ht="75" customHeight="1">
      <c r="A130" s="104" t="inlineStr">
        <is>
          <t>JS-310</t>
        </is>
      </c>
      <c r="B130" s="105" t="inlineStr">
        <is>
          <t>2026-04-29</t>
        </is>
      </c>
      <c r="C130" s="105" t="inlineStr">
        <is>
          <t>A</t>
        </is>
      </c>
      <c r="D130" s="105" t="inlineStr">
        <is>
          <t>5/2</t>
        </is>
      </c>
      <c r="E130"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31" hidden="1" outlineLevel="1" ht="45" customHeight="1">
      <c r="A131" s="107" t="inlineStr"/>
      <c r="B131" s="107" t="inlineStr">
        <is>
          <t>2025-12-03</t>
        </is>
      </c>
      <c r="C131" s="107" t="inlineStr">
        <is>
          <t>A+</t>
        </is>
      </c>
      <c r="D131" s="107" t="inlineStr">
        <is>
          <t>5/1</t>
        </is>
      </c>
      <c r="E131" s="11" t="inlineStr">
        <is>
          <t>I love him; he is truly the best. He is so passionate about what he teaches, and he cares for every single student. I recommend him to ANY and EVERYONE. [Inspirational, Hilarious, Caring]</t>
        </is>
      </c>
    </row>
    <row r="132" hidden="1" outlineLevel="1" ht="75" customHeight="1">
      <c r="A132" s="105" t="inlineStr"/>
      <c r="B132" s="105" t="inlineStr">
        <is>
          <t>2024-12-17</t>
        </is>
      </c>
      <c r="C132" s="105" t="inlineStr">
        <is>
          <t>A</t>
        </is>
      </c>
      <c r="D132" s="105" t="inlineStr">
        <is>
          <t>4/1</t>
        </is>
      </c>
      <c r="E132"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33" hidden="1" outlineLevel="1" ht="90" customHeight="1">
      <c r="A133" s="107" t="inlineStr"/>
      <c r="B133" s="107" t="inlineStr">
        <is>
          <t>2024-05-22</t>
        </is>
      </c>
      <c r="C133" s="107" t="inlineStr">
        <is>
          <t>A</t>
        </is>
      </c>
      <c r="D133" s="107" t="inlineStr">
        <is>
          <t>5/1</t>
        </is>
      </c>
      <c r="E133"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34" hidden="1" outlineLevel="1" ht="60" customHeight="1">
      <c r="A134" s="105" t="inlineStr"/>
      <c r="B134" s="105" t="inlineStr">
        <is>
          <t>2024-05-15</t>
        </is>
      </c>
      <c r="C134" s="105" t="inlineStr">
        <is>
          <t>A</t>
        </is>
      </c>
      <c r="D134" s="105" t="inlineStr">
        <is>
          <t>5/2</t>
        </is>
      </c>
      <c r="E134"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35" hidden="1" outlineLevel="1" ht="75" customHeight="1">
      <c r="A135" s="107" t="inlineStr"/>
      <c r="B135" s="107" t="inlineStr">
        <is>
          <t>2024-02-13</t>
        </is>
      </c>
      <c r="C135" s="107" t="inlineStr">
        <is>
          <t>A</t>
        </is>
      </c>
      <c r="D135" s="107" t="inlineStr">
        <is>
          <t>5/2</t>
        </is>
      </c>
      <c r="E135"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36" hidden="1" outlineLevel="1" ht="75" customHeight="1">
      <c r="A136" s="105" t="inlineStr"/>
      <c r="B136" s="105" t="inlineStr">
        <is>
          <t>2023-11-04</t>
        </is>
      </c>
      <c r="C136" s="105" t="inlineStr">
        <is>
          <t>A+</t>
        </is>
      </c>
      <c r="D136" s="105" t="inlineStr">
        <is>
          <t>5/1</t>
        </is>
      </c>
      <c r="E136"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37" hidden="1" outlineLevel="1" ht="75" customHeight="1">
      <c r="A137" s="107" t="inlineStr"/>
      <c r="B137" s="107" t="inlineStr">
        <is>
          <t>2022-05-21</t>
        </is>
      </c>
      <c r="C137" s="107" t="inlineStr">
        <is>
          <t>A</t>
        </is>
      </c>
      <c r="D137" s="107" t="inlineStr">
        <is>
          <t>5/2</t>
        </is>
      </c>
      <c r="E137"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38" hidden="1" outlineLevel="1" ht="30" customHeight="1">
      <c r="A138" s="105" t="inlineStr"/>
      <c r="B138" s="105" t="inlineStr">
        <is>
          <t>2022-05-13</t>
        </is>
      </c>
      <c r="C138" s="105" t="inlineStr">
        <is>
          <t>A</t>
        </is>
      </c>
      <c r="D138" s="105" t="inlineStr">
        <is>
          <t>5/2</t>
        </is>
      </c>
      <c r="E138" s="8" t="inlineStr">
        <is>
          <t>Professor Brylak knows his stuff and is a very easy grader. [Amazing lectures, Clear grading criteria, Caring]</t>
        </is>
      </c>
    </row>
    <row r="139" hidden="1" outlineLevel="1" ht="75" customHeight="1">
      <c r="A139" s="107" t="inlineStr"/>
      <c r="B139" s="107" t="inlineStr">
        <is>
          <t>2022-04-28</t>
        </is>
      </c>
      <c r="C139" s="107" t="inlineStr">
        <is>
          <t>A+</t>
        </is>
      </c>
      <c r="D139" s="107" t="inlineStr">
        <is>
          <t>5/1</t>
        </is>
      </c>
      <c r="E139"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40" hidden="1" outlineLevel="1" ht="45" customHeight="1">
      <c r="A140" s="105" t="inlineStr"/>
      <c r="B140" s="105" t="inlineStr">
        <is>
          <t>2021-12-10</t>
        </is>
      </c>
      <c r="C140" s="105" t="inlineStr">
        <is>
          <t>-</t>
        </is>
      </c>
      <c r="D140" s="105" t="inlineStr">
        <is>
          <t>5/2</t>
        </is>
      </c>
      <c r="E140" s="8" t="inlineStr">
        <is>
          <t>Great professor! His lectures have a lot of tangents but he's very passionate about the subject so it makes it engaging. A decent amount of reading but easy grading and overall not too much work - a good GESM to take.</t>
        </is>
      </c>
    </row>
    <row r="141" hidden="1" outlineLevel="1" ht="30" customHeight="1">
      <c r="A141" s="107" t="inlineStr"/>
      <c r="B141" s="107" t="inlineStr">
        <is>
          <t>2021-12-02</t>
        </is>
      </c>
      <c r="C141" s="107" t="inlineStr">
        <is>
          <t>A</t>
        </is>
      </c>
      <c r="D141" s="107" t="inlineStr">
        <is>
          <t>5/2</t>
        </is>
      </c>
      <c r="E141" s="11" t="inlineStr">
        <is>
          <t>Genuinely a sweetheart and loves his classes [Amazing lectures, Lecture heavy, Caring]</t>
        </is>
      </c>
    </row>
    <row r="142" hidden="1" outlineLevel="1" ht="75" customHeight="1">
      <c r="A142" s="106" t="inlineStr">
        <is>
          <t>SPAN-290</t>
        </is>
      </c>
      <c r="B142" s="107" t="inlineStr">
        <is>
          <t>2026-07-13</t>
        </is>
      </c>
      <c r="C142" s="107" t="inlineStr">
        <is>
          <t>A</t>
        </is>
      </c>
      <c r="D142" s="107" t="inlineStr">
        <is>
          <t>5/2</t>
        </is>
      </c>
      <c r="E142"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43" hidden="1" outlineLevel="1" ht="60" customHeight="1">
      <c r="A143" s="105" t="inlineStr"/>
      <c r="B143" s="105" t="inlineStr">
        <is>
          <t>2024-05-18</t>
        </is>
      </c>
      <c r="C143" s="105" t="inlineStr">
        <is>
          <t>A</t>
        </is>
      </c>
      <c r="D143" s="105" t="inlineStr">
        <is>
          <t>5/2</t>
        </is>
      </c>
      <c r="E143"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44" hidden="1" outlineLevel="1" ht="75" customHeight="1">
      <c r="A144" s="107" t="inlineStr"/>
      <c r="B144" s="107" t="inlineStr">
        <is>
          <t>2020-12-16</t>
        </is>
      </c>
      <c r="C144" s="107" t="inlineStr">
        <is>
          <t>-</t>
        </is>
      </c>
      <c r="D144" s="107" t="inlineStr">
        <is>
          <t>5/4</t>
        </is>
      </c>
      <c r="E144"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45" hidden="1" outlineLevel="1" ht="45" customHeight="1">
      <c r="A145" s="105" t="inlineStr"/>
      <c r="B145" s="105" t="inlineStr">
        <is>
          <t>2017-01-11</t>
        </is>
      </c>
      <c r="C145" s="105" t="inlineStr">
        <is>
          <t>A-</t>
        </is>
      </c>
      <c r="D145" s="105" t="inlineStr">
        <is>
          <t>4/2</t>
        </is>
      </c>
      <c r="E145" s="8" t="inlineStr">
        <is>
          <t>He's great and speaks perfect Spanish. He isn't harsh if you don't speak perfectly or know every word. He grades pretty easily and I'm surprised I didn't get a solid A. Overall, would take him again. [GROUP PROJECTS]</t>
        </is>
      </c>
    </row>
    <row r="146" hidden="1" outlineLevel="1" ht="60" customHeight="1">
      <c r="A146" s="107" t="inlineStr"/>
      <c r="B146" s="107" t="inlineStr">
        <is>
          <t>2016-12-15</t>
        </is>
      </c>
      <c r="C146" s="107" t="inlineStr">
        <is>
          <t>A</t>
        </is>
      </c>
      <c r="D146" s="107" t="inlineStr">
        <is>
          <t>5/2</t>
        </is>
      </c>
      <c r="E146" s="11" t="inlineStr">
        <is>
          <t>A lot of reading (books), but lectures are very interesting. He is well-read and knows a lot of literature. Two papers and one presentation but he's an easy grader. Be prepared to discuss the books. [Get ready to read, Hilarious, Amazing lectures]</t>
        </is>
      </c>
    </row>
    <row r="147" hidden="1" outlineLevel="1" ht="60" customHeight="1">
      <c r="A147" s="105" t="inlineStr"/>
      <c r="B147" s="105" t="inlineStr">
        <is>
          <t>2016-04-22</t>
        </is>
      </c>
      <c r="C147" s="105" t="inlineStr">
        <is>
          <t>B</t>
        </is>
      </c>
      <c r="D147" s="105" t="inlineStr">
        <is>
          <t>2/1</t>
        </is>
      </c>
      <c r="E147"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48" hidden="1" outlineLevel="1"/>
    <row r="149" hidden="1" outlineLevel="1">
      <c r="A149" s="91" t="inlineStr">
        <is>
          <t>RMP data as of 2026-08-30. Source: ratemyprofessors.com. Avg reviewer grade = mean of self-reported letter grades (4.0 scale); not all reviewers report a grade.</t>
        </is>
      </c>
    </row>
    <row r="151" ht="28" customHeight="1">
      <c r="A151" s="4" t="inlineStr">
        <is>
          <t>Connect prep (e.g. BUAD-304 Personal Assessments) is ungraded class prep - not part of Participation or other graded categories.</t>
        </is>
      </c>
    </row>
    <row r="152" ht="32" customHeight="1">
      <c r="A152" s="5" t="inlineStr">
        <is>
          <t>Start here (graded): 2026-09-04 - ECON-351 - Homework: Homework 1 (Chapter 4) — Brightspace, due 11:59 pm</t>
        </is>
      </c>
    </row>
    <row r="154">
      <c r="A154" s="6" t="inlineStr">
        <is>
          <t>Class</t>
        </is>
      </c>
      <c r="B154" s="6" t="inlineStr">
        <is>
          <t>Reading</t>
        </is>
      </c>
      <c r="C154" s="6" t="inlineStr">
        <is>
          <t>Homework</t>
        </is>
      </c>
      <c r="D154" s="6" t="inlineStr">
        <is>
          <t>Papers</t>
        </is>
      </c>
      <c r="E154" s="6" t="inlineStr">
        <is>
          <t>Group Project</t>
        </is>
      </c>
      <c r="F154" s="6" t="inlineStr">
        <is>
          <t>External certs</t>
        </is>
      </c>
      <c r="G154" s="6" t="inlineStr">
        <is>
          <t>Connect prep</t>
        </is>
      </c>
      <c r="H154" s="6" t="inlineStr">
        <is>
          <t>First assignment</t>
        </is>
      </c>
      <c r="I154" s="6" t="inlineStr">
        <is>
          <t>Assign due</t>
        </is>
      </c>
      <c r="J154" s="6" t="inlineStr">
        <is>
          <t>First major</t>
        </is>
      </c>
      <c r="K154" s="6" t="inlineStr">
        <is>
          <t>Major due</t>
        </is>
      </c>
    </row>
    <row r="155">
      <c r="A155" s="7">
        <f>HYPERLINK("#'ANTH-202'!A1","ANTH-202")</f>
        <v/>
      </c>
      <c r="B155" s="8" t="inlineStr">
        <is>
          <t>-</t>
        </is>
      </c>
      <c r="C155" s="8" t="inlineStr">
        <is>
          <t>Yes</t>
        </is>
      </c>
      <c r="D155" s="8" t="inlineStr">
        <is>
          <t>Final Paper</t>
        </is>
      </c>
      <c r="E155" s="8" t="inlineStr">
        <is>
          <t>-</t>
        </is>
      </c>
      <c r="F155" s="8" t="inlineStr">
        <is>
          <t>-</t>
        </is>
      </c>
      <c r="G155" s="8" t="inlineStr">
        <is>
          <t>-</t>
        </is>
      </c>
      <c r="H155" s="8" t="inlineStr">
        <is>
          <t>Week 2 quiz — Welcome! Course overview &amp; instructor int</t>
        </is>
      </c>
      <c r="I155" s="8" t="inlineStr">
        <is>
          <t>2026-09-04</t>
        </is>
      </c>
      <c r="J155" s="8" t="inlineStr">
        <is>
          <t>Research Design Worksheet 1 (Topic) — submit via Bright</t>
        </is>
      </c>
      <c r="K155" s="8" t="inlineStr">
        <is>
          <t>2026-09-25</t>
        </is>
      </c>
    </row>
    <row r="156">
      <c r="A156" s="10">
        <f>HYPERLINK("#'BUAD-281'!A1","BUAD-281")</f>
        <v/>
      </c>
      <c r="B156" s="11" t="inlineStr">
        <is>
          <t>Yes</t>
        </is>
      </c>
      <c r="C156" s="11" t="inlineStr">
        <is>
          <t>Yes</t>
        </is>
      </c>
      <c r="D156" s="11" t="inlineStr">
        <is>
          <t>-</t>
        </is>
      </c>
      <c r="E156" s="11" t="inlineStr">
        <is>
          <t>-</t>
        </is>
      </c>
      <c r="F156" s="248" t="inlineStr">
        <is>
          <t>LinkedIn Learning Excel Certification, Stukent Simternship</t>
        </is>
      </c>
      <c r="G156" s="11" t="inlineStr">
        <is>
          <t>-</t>
        </is>
      </c>
      <c r="H156" s="11" t="inlineStr">
        <is>
          <t>Class 5 (9/9) - 2-29, 2-30, 2-40; 15 Points</t>
        </is>
      </c>
      <c r="I156" s="11" t="inlineStr">
        <is>
          <t>2026-09-09</t>
        </is>
      </c>
      <c r="J156" s="11" t="inlineStr">
        <is>
          <t>Midterm 1</t>
        </is>
      </c>
      <c r="K156" s="11" t="inlineStr">
        <is>
          <t>2026-09-30</t>
        </is>
      </c>
    </row>
    <row r="157">
      <c r="A157" s="7">
        <f>HYPERLINK("#'BUAD-304'!A1","BUAD-304")</f>
        <v/>
      </c>
      <c r="B157" s="8" t="inlineStr">
        <is>
          <t>-</t>
        </is>
      </c>
      <c r="C157" s="8" t="inlineStr">
        <is>
          <t>Yes</t>
        </is>
      </c>
      <c r="D157" s="8" t="inlineStr">
        <is>
          <t>Final Reflection Paper, Team Project Paper</t>
        </is>
      </c>
      <c r="E157" s="8" t="inlineStr">
        <is>
          <t>Yes</t>
        </is>
      </c>
      <c r="F157" s="8" t="inlineStr">
        <is>
          <t>-</t>
        </is>
      </c>
      <c r="G157" s="249" t="inlineStr">
        <is>
          <t>Ungraded prep</t>
        </is>
      </c>
      <c r="H157" s="8" t="inlineStr">
        <is>
          <t>Connect: Sharpen Companion</t>
        </is>
      </c>
      <c r="I157" s="8" t="inlineStr">
        <is>
          <t>2026-09-04</t>
        </is>
      </c>
      <c r="J157" s="8" t="inlineStr">
        <is>
          <t>Thomas Green Case Analysis Memo</t>
        </is>
      </c>
      <c r="K157" s="8" t="inlineStr">
        <is>
          <t>2026-09-16</t>
        </is>
      </c>
    </row>
    <row r="158">
      <c r="A158" s="10">
        <f>HYPERLINK("#'ECON-351'!A1","ECON-351")</f>
        <v/>
      </c>
      <c r="B158" s="11" t="inlineStr">
        <is>
          <t>Yes</t>
        </is>
      </c>
      <c r="C158" s="11" t="inlineStr">
        <is>
          <t>Yes</t>
        </is>
      </c>
      <c r="D158" s="11" t="inlineStr">
        <is>
          <t>-</t>
        </is>
      </c>
      <c r="E158" s="11" t="inlineStr">
        <is>
          <t>-</t>
        </is>
      </c>
      <c r="F158" s="11" t="inlineStr">
        <is>
          <t>-</t>
        </is>
      </c>
      <c r="G158" s="11" t="inlineStr">
        <is>
          <t>-</t>
        </is>
      </c>
      <c r="H158" s="11" t="inlineStr">
        <is>
          <t>Homework 1 (Chapter 4) — Brightspace, due 11:59 pm</t>
        </is>
      </c>
      <c r="I158" s="11" t="inlineStr">
        <is>
          <t>2026-09-04</t>
        </is>
      </c>
      <c r="J158" s="11" t="inlineStr">
        <is>
          <t>First midterm exam</t>
        </is>
      </c>
      <c r="K158" s="11" t="inlineStr">
        <is>
          <t>2026-09-14</t>
        </is>
      </c>
    </row>
    <row r="159">
      <c r="A159" s="7">
        <f>HYPERLINK("#'HIST-103'!A1","HIST-103")</f>
        <v/>
      </c>
      <c r="B159" s="8" t="inlineStr">
        <is>
          <t>Yes</t>
        </is>
      </c>
      <c r="C159" s="8" t="inlineStr">
        <is>
          <t>-</t>
        </is>
      </c>
      <c r="D159" s="8" t="inlineStr">
        <is>
          <t>Sleep Paper, Witchcraft Paper</t>
        </is>
      </c>
      <c r="E159" s="8" t="inlineStr">
        <is>
          <t>Yes</t>
        </is>
      </c>
      <c r="F159" s="8" t="inlineStr">
        <is>
          <t>-</t>
        </is>
      </c>
      <c r="G159" s="8" t="inlineStr">
        <is>
          <t>-</t>
        </is>
      </c>
      <c r="H159" s="8" t="inlineStr">
        <is>
          <t>Sleep Paper Due</t>
        </is>
      </c>
      <c r="I159" s="8" t="inlineStr">
        <is>
          <t>2026-09-15</t>
        </is>
      </c>
      <c r="J159" s="8" t="inlineStr">
        <is>
          <t>Sleep Paper</t>
        </is>
      </c>
      <c r="K159" s="8" t="inlineStr">
        <is>
          <t>2026-09-15</t>
        </is>
      </c>
    </row>
    <row r="160">
      <c r="A160" s="10">
        <f>HYPERLINK("#'JS-310'!A1","JS-310")</f>
        <v/>
      </c>
      <c r="B160" s="11" t="inlineStr">
        <is>
          <t>-</t>
        </is>
      </c>
      <c r="C160" s="11" t="inlineStr">
        <is>
          <t>Yes</t>
        </is>
      </c>
      <c r="D160" s="11" t="inlineStr">
        <is>
          <t>-</t>
        </is>
      </c>
      <c r="E160" s="11" t="inlineStr">
        <is>
          <t>-</t>
        </is>
      </c>
      <c r="F160" s="11" t="inlineStr">
        <is>
          <t>-</t>
        </is>
      </c>
      <c r="G160" s="11" t="inlineStr">
        <is>
          <t>-</t>
        </is>
      </c>
      <c r="H160" s="11" t="inlineStr">
        <is>
          <t>-</t>
        </is>
      </c>
      <c r="I160" s="11" t="inlineStr">
        <is>
          <t>-</t>
        </is>
      </c>
      <c r="J160" s="11" t="inlineStr">
        <is>
          <t>-</t>
        </is>
      </c>
      <c r="K160" s="11" t="inlineStr">
        <is>
          <t>-</t>
        </is>
      </c>
    </row>
    <row r="161">
      <c r="A161" s="7">
        <f>HYPERLINK("#'SPAN-290'!A1","SPAN-290")</f>
        <v/>
      </c>
      <c r="B161" s="8" t="inlineStr">
        <is>
          <t>Yes</t>
        </is>
      </c>
      <c r="C161" s="8" t="inlineStr">
        <is>
          <t>-</t>
        </is>
      </c>
      <c r="D161" s="8" t="inlineStr">
        <is>
          <t>-</t>
        </is>
      </c>
      <c r="E161" s="8" t="inlineStr">
        <is>
          <t>-</t>
        </is>
      </c>
      <c r="F161" s="8" t="inlineStr">
        <is>
          <t>-</t>
        </is>
      </c>
      <c r="G161" s="8" t="inlineStr">
        <is>
          <t>-</t>
        </is>
      </c>
      <c r="H161" s="8" t="inlineStr">
        <is>
          <t>Essay 1</t>
        </is>
      </c>
      <c r="I161" s="8" t="inlineStr">
        <is>
          <t>2026-09-18</t>
        </is>
      </c>
      <c r="J161" s="8" t="inlineStr">
        <is>
          <t>Essay 1</t>
        </is>
      </c>
      <c r="K161" s="8" t="inlineStr">
        <is>
          <t>2026-09-18</t>
        </is>
      </c>
    </row>
    <row r="163">
      <c r="A163" s="13" t="inlineStr">
        <is>
          <t>Do First - August 2026 - graded assignments (first per class always listed)</t>
        </is>
      </c>
    </row>
    <row r="164">
      <c r="A164" s="14" t="inlineStr">
        <is>
          <t>Due</t>
        </is>
      </c>
      <c r="B164" s="14" t="inlineStr">
        <is>
          <t>Class</t>
        </is>
      </c>
      <c r="C164" s="14" t="inlineStr">
        <is>
          <t>Type</t>
        </is>
      </c>
      <c r="D164" s="14" t="inlineStr">
        <is>
          <t>Graded?</t>
        </is>
      </c>
      <c r="E164" s="14" t="inlineStr">
        <is>
          <t>Item</t>
        </is>
      </c>
    </row>
    <row r="165">
      <c r="A165" s="8" t="inlineStr">
        <is>
          <t>2026-09-04</t>
        </is>
      </c>
      <c r="B165" s="8" t="inlineStr">
        <is>
          <t>ECON-351</t>
        </is>
      </c>
      <c r="C165" s="15" t="inlineStr">
        <is>
          <t>Homework</t>
        </is>
      </c>
      <c r="D165" s="8" t="inlineStr">
        <is>
          <t>Yes</t>
        </is>
      </c>
      <c r="E165" s="8" t="inlineStr">
        <is>
          <t>Homework 1 (Chapter 4) — Brightspace, due 11:59 pm</t>
        </is>
      </c>
    </row>
    <row r="166">
      <c r="A166" s="11" t="inlineStr">
        <is>
          <t>2026-09-04</t>
        </is>
      </c>
      <c r="B166" s="11" t="inlineStr">
        <is>
          <t>ANTH-202</t>
        </is>
      </c>
      <c r="C166" s="46" t="inlineStr">
        <is>
          <t>Homework</t>
        </is>
      </c>
      <c r="D166" s="11" t="inlineStr">
        <is>
          <t>Yes</t>
        </is>
      </c>
      <c r="E166" s="11" t="inlineStr">
        <is>
          <t>Week 2 quiz — Welcome! Course overview &amp; instructor introduction. (due Fri 7pm B</t>
        </is>
      </c>
    </row>
    <row r="167">
      <c r="A167" s="8" t="inlineStr">
        <is>
          <t>2026-09-09</t>
        </is>
      </c>
      <c r="B167" s="8" t="inlineStr">
        <is>
          <t>BUAD-281</t>
        </is>
      </c>
      <c r="C167" s="15" t="inlineStr">
        <is>
          <t>Homework</t>
        </is>
      </c>
      <c r="D167" s="8" t="inlineStr">
        <is>
          <t>Yes</t>
        </is>
      </c>
      <c r="E167" s="8" t="inlineStr">
        <is>
          <t>Class 5 (9/9) - 2-29, 2-30, 2-40; 15 Points</t>
        </is>
      </c>
    </row>
    <row r="168">
      <c r="A168" s="11" t="inlineStr">
        <is>
          <t>2026-09-15</t>
        </is>
      </c>
      <c r="B168" s="11" t="inlineStr">
        <is>
          <t>HIST-103</t>
        </is>
      </c>
      <c r="C168" s="16" t="inlineStr">
        <is>
          <t>Assignment</t>
        </is>
      </c>
      <c r="D168" s="11" t="inlineStr">
        <is>
          <t>Yes</t>
        </is>
      </c>
      <c r="E168" s="11" t="inlineStr">
        <is>
          <t>Sleep Paper Due</t>
        </is>
      </c>
    </row>
    <row r="169">
      <c r="A169" s="8" t="inlineStr">
        <is>
          <t>2026-09-18</t>
        </is>
      </c>
      <c r="B169" s="8" t="inlineStr">
        <is>
          <t>SPAN-290</t>
        </is>
      </c>
      <c r="C169" s="25" t="inlineStr">
        <is>
          <t>Assignment</t>
        </is>
      </c>
      <c r="D169" s="8" t="inlineStr">
        <is>
          <t>Yes</t>
        </is>
      </c>
      <c r="E169" s="8" t="inlineStr">
        <is>
          <t>Essay 1</t>
        </is>
      </c>
    </row>
    <row r="171">
      <c r="A171" s="17" t="inlineStr">
        <is>
          <t>Do First - August 2026 - Connect prep only (ungraded, not Participation)</t>
        </is>
      </c>
    </row>
    <row r="172">
      <c r="A172" s="18" t="inlineStr">
        <is>
          <t>Due</t>
        </is>
      </c>
      <c r="B172" s="18" t="inlineStr">
        <is>
          <t>Class</t>
        </is>
      </c>
      <c r="C172" s="18" t="inlineStr">
        <is>
          <t>Type</t>
        </is>
      </c>
      <c r="D172" s="18" t="inlineStr">
        <is>
          <t>Graded?</t>
        </is>
      </c>
      <c r="E172" s="18" t="inlineStr">
        <is>
          <t>Item</t>
        </is>
      </c>
    </row>
    <row r="173">
      <c r="A173" s="19" t="inlineStr">
        <is>
          <t>2026-09-04</t>
        </is>
      </c>
      <c r="B173" s="19" t="inlineStr">
        <is>
          <t>BUAD-304</t>
        </is>
      </c>
      <c r="C173" s="20" t="inlineStr">
        <is>
          <t>Homework</t>
        </is>
      </c>
      <c r="D173" s="21" t="inlineStr">
        <is>
          <t>No</t>
        </is>
      </c>
      <c r="E173" s="19" t="inlineStr">
        <is>
          <t>Connect: Sharpen Companion</t>
        </is>
      </c>
    </row>
    <row r="175">
      <c r="A175" s="13" t="inlineStr">
        <is>
          <t>Upcoming graded assignments (next 45 days)</t>
        </is>
      </c>
    </row>
    <row r="176">
      <c r="A176" s="14" t="inlineStr">
        <is>
          <t>Due</t>
        </is>
      </c>
      <c r="B176" s="14" t="inlineStr">
        <is>
          <t>Class</t>
        </is>
      </c>
      <c r="C176" s="14" t="inlineStr">
        <is>
          <t>Type</t>
        </is>
      </c>
      <c r="D176" s="14" t="inlineStr">
        <is>
          <t>Graded?</t>
        </is>
      </c>
      <c r="E176" s="14" t="inlineStr">
        <is>
          <t>Item</t>
        </is>
      </c>
    </row>
    <row r="177">
      <c r="A177" s="8" t="inlineStr">
        <is>
          <t>2026-09-04</t>
        </is>
      </c>
      <c r="B177" s="8" t="inlineStr">
        <is>
          <t>ECON-351</t>
        </is>
      </c>
      <c r="C177" s="15" t="inlineStr">
        <is>
          <t>Homework</t>
        </is>
      </c>
      <c r="D177" s="8" t="inlineStr">
        <is>
          <t>Yes</t>
        </is>
      </c>
      <c r="E177" s="8" t="inlineStr">
        <is>
          <t>Homework 1 (Chapter 4) — Brightspace, due 11:59 pm</t>
        </is>
      </c>
    </row>
    <row r="178">
      <c r="A178" s="11" t="inlineStr">
        <is>
          <t>2026-09-04</t>
        </is>
      </c>
      <c r="B178" s="11" t="inlineStr">
        <is>
          <t>ANTH-202</t>
        </is>
      </c>
      <c r="C178" s="46" t="inlineStr">
        <is>
          <t>Homework</t>
        </is>
      </c>
      <c r="D178" s="11" t="inlineStr">
        <is>
          <t>Yes</t>
        </is>
      </c>
      <c r="E178" s="11" t="inlineStr">
        <is>
          <t>Week 2 quiz — Welcome! Course overview &amp; instructor introduction. (due Fri 7pm B</t>
        </is>
      </c>
    </row>
    <row r="179">
      <c r="A179" s="8" t="inlineStr">
        <is>
          <t>2026-09-09</t>
        </is>
      </c>
      <c r="B179" s="8" t="inlineStr">
        <is>
          <t>BUAD-281</t>
        </is>
      </c>
      <c r="C179" s="15" t="inlineStr">
        <is>
          <t>Homework</t>
        </is>
      </c>
      <c r="D179" s="8" t="inlineStr">
        <is>
          <t>Yes</t>
        </is>
      </c>
      <c r="E179" s="8" t="inlineStr">
        <is>
          <t>Class 5 (9/9) - 2-29, 2-30, 2-40; 15 Points</t>
        </is>
      </c>
    </row>
    <row r="180">
      <c r="A180" s="11" t="inlineStr">
        <is>
          <t>2026-09-11</t>
        </is>
      </c>
      <c r="B180" s="11" t="inlineStr">
        <is>
          <t>ECON-351</t>
        </is>
      </c>
      <c r="C180" s="46" t="inlineStr">
        <is>
          <t>Homework</t>
        </is>
      </c>
      <c r="D180" s="11" t="inlineStr">
        <is>
          <t>Yes</t>
        </is>
      </c>
      <c r="E180" s="11" t="inlineStr">
        <is>
          <t>Homework 2 (Chapter 9) — Brightspace, due 11:59 pm</t>
        </is>
      </c>
    </row>
    <row r="181">
      <c r="A181" s="8" t="inlineStr">
        <is>
          <t>2026-09-11</t>
        </is>
      </c>
      <c r="B181" s="8" t="inlineStr">
        <is>
          <t>ANTH-202</t>
        </is>
      </c>
      <c r="C181" s="15" t="inlineStr">
        <is>
          <t>Homework</t>
        </is>
      </c>
      <c r="D181" s="8" t="inlineStr">
        <is>
          <t>Yes</t>
        </is>
      </c>
      <c r="E181" s="8" t="inlineStr">
        <is>
          <t>Week 3 quiz — The Principles of Archaeology &amp; What is Anthropology? (due Fri 7pm</t>
        </is>
      </c>
    </row>
    <row r="182">
      <c r="A182" s="11" t="inlineStr">
        <is>
          <t>2026-09-14</t>
        </is>
      </c>
      <c r="B182" s="11" t="inlineStr">
        <is>
          <t>ECON-351</t>
        </is>
      </c>
      <c r="C182" s="120" t="inlineStr">
        <is>
          <t>Exam</t>
        </is>
      </c>
      <c r="D182" s="11" t="inlineStr">
        <is>
          <t>Yes</t>
        </is>
      </c>
      <c r="E182" s="11" t="inlineStr">
        <is>
          <t>Midterm 1 — covers Chapters 4 and 9</t>
        </is>
      </c>
    </row>
    <row r="183">
      <c r="A183" s="8" t="inlineStr">
        <is>
          <t>2026-09-14</t>
        </is>
      </c>
      <c r="B183" s="8" t="inlineStr">
        <is>
          <t>ECON-351</t>
        </is>
      </c>
      <c r="C183" s="25" t="inlineStr">
        <is>
          <t>Assignment</t>
        </is>
      </c>
      <c r="D183" s="8" t="inlineStr">
        <is>
          <t>Yes</t>
        </is>
      </c>
      <c r="E183" s="8" t="inlineStr">
        <is>
          <t>First midterm exam</t>
        </is>
      </c>
    </row>
    <row r="184">
      <c r="A184" s="11" t="inlineStr">
        <is>
          <t>2026-09-15</t>
        </is>
      </c>
      <c r="B184" s="11" t="inlineStr">
        <is>
          <t>HIST-103</t>
        </is>
      </c>
      <c r="C184" s="16" t="inlineStr">
        <is>
          <t>Assignment</t>
        </is>
      </c>
      <c r="D184" s="11" t="inlineStr">
        <is>
          <t>Yes</t>
        </is>
      </c>
      <c r="E184" s="11" t="inlineStr">
        <is>
          <t>Sleep Paper Due</t>
        </is>
      </c>
    </row>
    <row r="185">
      <c r="A185" s="8" t="inlineStr">
        <is>
          <t>2026-09-15</t>
        </is>
      </c>
      <c r="B185" s="8" t="inlineStr">
        <is>
          <t>HIST-103</t>
        </is>
      </c>
      <c r="C185" s="25" t="inlineStr">
        <is>
          <t>Assignment</t>
        </is>
      </c>
      <c r="D185" s="8" t="inlineStr">
        <is>
          <t>Yes</t>
        </is>
      </c>
      <c r="E185" s="8" t="inlineStr">
        <is>
          <t>Sleep Paper</t>
        </is>
      </c>
    </row>
    <row r="186">
      <c r="A186" s="11" t="inlineStr">
        <is>
          <t>2026-09-16</t>
        </is>
      </c>
      <c r="B186" s="11" t="inlineStr">
        <is>
          <t>BUAD-281</t>
        </is>
      </c>
      <c r="C186" s="46" t="inlineStr">
        <is>
          <t>Homework</t>
        </is>
      </c>
      <c r="D186" s="11" t="inlineStr">
        <is>
          <t>Yes</t>
        </is>
      </c>
      <c r="E186" s="11" t="inlineStr">
        <is>
          <t>Class 7 (9/16) - 3-24, 3-28, 3-32; 15 Points</t>
        </is>
      </c>
    </row>
    <row r="187">
      <c r="A187" s="8" t="inlineStr">
        <is>
          <t>2026-09-16</t>
        </is>
      </c>
      <c r="B187" s="8" t="inlineStr">
        <is>
          <t>BUAD-304</t>
        </is>
      </c>
      <c r="C187" s="25" t="inlineStr">
        <is>
          <t>Assignment</t>
        </is>
      </c>
      <c r="D187" s="8" t="inlineStr">
        <is>
          <t>Yes</t>
        </is>
      </c>
      <c r="E187" s="8" t="inlineStr">
        <is>
          <t>Thomas Green Case Analysis Memo</t>
        </is>
      </c>
    </row>
    <row r="188">
      <c r="A188" s="11" t="inlineStr">
        <is>
          <t>2026-09-17</t>
        </is>
      </c>
      <c r="B188" s="11" t="inlineStr">
        <is>
          <t>HIST-103</t>
        </is>
      </c>
      <c r="C188" s="16" t="inlineStr">
        <is>
          <t>Assignment</t>
        </is>
      </c>
      <c r="D188" s="11" t="inlineStr">
        <is>
          <t>Yes</t>
        </is>
      </c>
      <c r="E188" s="11" t="inlineStr">
        <is>
          <t>Final Exam</t>
        </is>
      </c>
    </row>
    <row r="189">
      <c r="A189" s="8" t="inlineStr">
        <is>
          <t>2026-09-18</t>
        </is>
      </c>
      <c r="B189" s="8" t="inlineStr">
        <is>
          <t>ECON-351</t>
        </is>
      </c>
      <c r="C189" s="15" t="inlineStr">
        <is>
          <t>Homework</t>
        </is>
      </c>
      <c r="D189" s="8" t="inlineStr">
        <is>
          <t>Yes</t>
        </is>
      </c>
      <c r="E189" s="8" t="inlineStr">
        <is>
          <t>Homework 3 — Brightspace, due 11:59 pm</t>
        </is>
      </c>
    </row>
    <row r="190">
      <c r="A190" s="11" t="inlineStr">
        <is>
          <t>2026-09-18</t>
        </is>
      </c>
      <c r="B190" s="11" t="inlineStr">
        <is>
          <t>ANTH-202</t>
        </is>
      </c>
      <c r="C190" s="46" t="inlineStr">
        <is>
          <t>Homework</t>
        </is>
      </c>
      <c r="D190" s="11" t="inlineStr">
        <is>
          <t>Yes</t>
        </is>
      </c>
      <c r="E190" s="11" t="inlineStr">
        <is>
          <t xml:space="preserve">Week 4 quiz — The History of Archaeology, Our Earliest Ancestors, Data Sampling </t>
        </is>
      </c>
    </row>
    <row r="191">
      <c r="A191" s="8" t="inlineStr">
        <is>
          <t>2026-09-18</t>
        </is>
      </c>
      <c r="B191" s="8" t="inlineStr">
        <is>
          <t>SPAN-290</t>
        </is>
      </c>
      <c r="C191" s="25" t="inlineStr">
        <is>
          <t>Assignment</t>
        </is>
      </c>
      <c r="D191" s="8" t="inlineStr">
        <is>
          <t>Yes</t>
        </is>
      </c>
      <c r="E191" s="8" t="inlineStr">
        <is>
          <t>Essay 1</t>
        </is>
      </c>
    </row>
    <row r="192">
      <c r="A192" s="11" t="inlineStr">
        <is>
          <t>2026-09-21</t>
        </is>
      </c>
      <c r="B192" s="11" t="inlineStr">
        <is>
          <t>BUAD-281</t>
        </is>
      </c>
      <c r="C192" s="46" t="inlineStr">
        <is>
          <t>Homework</t>
        </is>
      </c>
      <c r="D192" s="11" t="inlineStr">
        <is>
          <t>Yes</t>
        </is>
      </c>
      <c r="E192" s="11" t="inlineStr">
        <is>
          <t>Class 8 (9/21) - 5-27 5-46; 10 Points</t>
        </is>
      </c>
    </row>
    <row r="193">
      <c r="A193" s="8" t="inlineStr">
        <is>
          <t>2026-09-23</t>
        </is>
      </c>
      <c r="B193" s="8" t="inlineStr">
        <is>
          <t>BUAD-281</t>
        </is>
      </c>
      <c r="C193" s="15" t="inlineStr">
        <is>
          <t>Homework</t>
        </is>
      </c>
      <c r="D193" s="8" t="inlineStr">
        <is>
          <t>Yes</t>
        </is>
      </c>
      <c r="E193" s="8" t="inlineStr">
        <is>
          <t>Class 9 (9/23) - 4-21, 4-22; 10 Points</t>
        </is>
      </c>
    </row>
    <row r="194">
      <c r="A194" s="11" t="inlineStr">
        <is>
          <t>2026-09-25</t>
        </is>
      </c>
      <c r="B194" s="11" t="inlineStr">
        <is>
          <t>ECON-351</t>
        </is>
      </c>
      <c r="C194" s="46" t="inlineStr">
        <is>
          <t>Homework</t>
        </is>
      </c>
      <c r="D194" s="11" t="inlineStr">
        <is>
          <t>Yes</t>
        </is>
      </c>
      <c r="E194" s="11" t="inlineStr">
        <is>
          <t>Homework 4 (Chapter 3) — Brightspace, due 11:59 pm</t>
        </is>
      </c>
    </row>
    <row r="195">
      <c r="A195" s="8" t="inlineStr">
        <is>
          <t>2026-09-25</t>
        </is>
      </c>
      <c r="B195" s="8" t="inlineStr">
        <is>
          <t>ANTH-202</t>
        </is>
      </c>
      <c r="C195" s="15" t="inlineStr">
        <is>
          <t>Homework</t>
        </is>
      </c>
      <c r="D195" s="8" t="inlineStr">
        <is>
          <t>Yes</t>
        </is>
      </c>
      <c r="E195" s="8" t="inlineStr">
        <is>
          <t>Week 5 quiz — Making a Living-Foraging to Agriculture &amp; The Paleolithic (due Fri</t>
        </is>
      </c>
    </row>
    <row r="196">
      <c r="A196" s="11" t="inlineStr">
        <is>
          <t>2026-09-25</t>
        </is>
      </c>
      <c r="B196" s="11" t="inlineStr">
        <is>
          <t>ANTH-202</t>
        </is>
      </c>
      <c r="C196" s="16" t="inlineStr">
        <is>
          <t>Assignment</t>
        </is>
      </c>
      <c r="D196" s="11" t="inlineStr">
        <is>
          <t>Yes</t>
        </is>
      </c>
      <c r="E196" s="11" t="inlineStr">
        <is>
          <t>Research Design Worksheet 1 (Topic) — submit via Brightspace</t>
        </is>
      </c>
    </row>
    <row r="197">
      <c r="A197" s="8" t="inlineStr">
        <is>
          <t>2026-09-25</t>
        </is>
      </c>
      <c r="B197" s="8" t="inlineStr">
        <is>
          <t>BUAD-304</t>
        </is>
      </c>
      <c r="C197" s="26" t="inlineStr">
        <is>
          <t>Research</t>
        </is>
      </c>
      <c r="D197" s="8" t="inlineStr">
        <is>
          <t>Yes</t>
        </is>
      </c>
      <c r="E197" s="8" t="inlineStr">
        <is>
          <t>Research: Setup deadline (registration, prescreening, contacts)</t>
        </is>
      </c>
    </row>
    <row r="198">
      <c r="A198" s="11" t="inlineStr">
        <is>
          <t>2026-09-28</t>
        </is>
      </c>
      <c r="B198" s="11" t="inlineStr">
        <is>
          <t>BUAD-281</t>
        </is>
      </c>
      <c r="C198" s="46" t="inlineStr">
        <is>
          <t>Homework</t>
        </is>
      </c>
      <c r="D198" s="11" t="inlineStr">
        <is>
          <t>Yes</t>
        </is>
      </c>
      <c r="E198" s="11" t="inlineStr">
        <is>
          <t>Class 10 (9/28) - 8-28, 8-29; 10 Points</t>
        </is>
      </c>
    </row>
    <row r="199">
      <c r="A199" s="8" t="inlineStr">
        <is>
          <t>2026-09-28</t>
        </is>
      </c>
      <c r="B199" s="8" t="inlineStr">
        <is>
          <t>BUAD-304</t>
        </is>
      </c>
      <c r="C199" s="25" t="inlineStr">
        <is>
          <t>Assignment</t>
        </is>
      </c>
      <c r="D199" s="8" t="inlineStr">
        <is>
          <t>Yes</t>
        </is>
      </c>
      <c r="E199" s="8" t="inlineStr">
        <is>
          <t>Team project proposal &amp; team contract</t>
        </is>
      </c>
    </row>
    <row r="200">
      <c r="A200" s="11" t="inlineStr">
        <is>
          <t>2026-09-28</t>
        </is>
      </c>
      <c r="B200" s="11" t="inlineStr">
        <is>
          <t>BUAD-304</t>
        </is>
      </c>
      <c r="C200" s="16" t="inlineStr">
        <is>
          <t>Assignment</t>
        </is>
      </c>
      <c r="D200" s="11" t="inlineStr">
        <is>
          <t>Yes</t>
        </is>
      </c>
      <c r="E200" s="11" t="inlineStr">
        <is>
          <t>Proposal &amp; Team Contract</t>
        </is>
      </c>
    </row>
    <row r="201">
      <c r="A201" s="8" t="inlineStr">
        <is>
          <t>2026-09-30</t>
        </is>
      </c>
      <c r="B201" s="8" t="inlineStr">
        <is>
          <t>BUAD-281</t>
        </is>
      </c>
      <c r="C201" s="47" t="inlineStr">
        <is>
          <t>Exam</t>
        </is>
      </c>
      <c r="D201" s="8" t="inlineStr">
        <is>
          <t>Yes</t>
        </is>
      </c>
      <c r="E201" s="8" t="inlineStr">
        <is>
          <t>9/30 Midterm 1: 250 Points Chapters 1, 2, 3, 4, 5, 8</t>
        </is>
      </c>
    </row>
    <row r="202">
      <c r="A202" s="11" t="inlineStr">
        <is>
          <t>2026-09-30</t>
        </is>
      </c>
      <c r="B202" s="11" t="inlineStr">
        <is>
          <t>BUAD-281</t>
        </is>
      </c>
      <c r="C202" s="16" t="inlineStr">
        <is>
          <t>Assignment</t>
        </is>
      </c>
      <c r="D202" s="11" t="inlineStr">
        <is>
          <t>Yes</t>
        </is>
      </c>
      <c r="E202" s="11" t="inlineStr">
        <is>
          <t>Midterm 1</t>
        </is>
      </c>
    </row>
    <row r="203">
      <c r="A203" s="8" t="inlineStr">
        <is>
          <t>2026-10-01</t>
        </is>
      </c>
      <c r="B203" s="8" t="inlineStr">
        <is>
          <t>SPAN-290</t>
        </is>
      </c>
      <c r="C203" s="47" t="inlineStr">
        <is>
          <t>Exam</t>
        </is>
      </c>
      <c r="D203" s="8" t="inlineStr">
        <is>
          <t>Yes</t>
        </is>
      </c>
      <c r="E203" s="8" t="inlineStr">
        <is>
          <t>Midterm Exam (in class)</t>
        </is>
      </c>
    </row>
    <row r="204">
      <c r="A204" s="11" t="inlineStr">
        <is>
          <t>2026-10-01</t>
        </is>
      </c>
      <c r="B204" s="11" t="inlineStr">
        <is>
          <t>SPAN-290</t>
        </is>
      </c>
      <c r="C204" s="16" t="inlineStr">
        <is>
          <t>Assignment</t>
        </is>
      </c>
      <c r="D204" s="11" t="inlineStr">
        <is>
          <t>Yes</t>
        </is>
      </c>
      <c r="E204" s="11" t="inlineStr">
        <is>
          <t>Midterm Exam</t>
        </is>
      </c>
    </row>
    <row r="205">
      <c r="A205" s="8" t="inlineStr">
        <is>
          <t>2026-10-02</t>
        </is>
      </c>
      <c r="B205" s="8" t="inlineStr">
        <is>
          <t>ECON-351</t>
        </is>
      </c>
      <c r="C205" s="15" t="inlineStr">
        <is>
          <t>Homework</t>
        </is>
      </c>
      <c r="D205" s="8" t="inlineStr">
        <is>
          <t>Yes</t>
        </is>
      </c>
      <c r="E205" s="8" t="inlineStr">
        <is>
          <t>Homework 5 (Chapter 5) — Brightspace, due 11:59 pm</t>
        </is>
      </c>
    </row>
    <row r="206">
      <c r="A206" s="11" t="inlineStr">
        <is>
          <t>2026-10-02</t>
        </is>
      </c>
      <c r="B206" s="11" t="inlineStr">
        <is>
          <t>ANTH-202</t>
        </is>
      </c>
      <c r="C206" s="46" t="inlineStr">
        <is>
          <t>Homework</t>
        </is>
      </c>
      <c r="D206" s="11" t="inlineStr">
        <is>
          <t>Yes</t>
        </is>
      </c>
      <c r="E206" s="11" t="inlineStr">
        <is>
          <t>Week 6 quiz — Making a Living-Foraging to Agriculture &amp; The Paleolithic (due Fri</t>
        </is>
      </c>
    </row>
    <row r="207">
      <c r="A207" s="8" t="inlineStr">
        <is>
          <t>2026-10-02</t>
        </is>
      </c>
      <c r="B207" s="8" t="inlineStr">
        <is>
          <t>ECON-351</t>
        </is>
      </c>
      <c r="C207" s="25" t="inlineStr">
        <is>
          <t>Assignment</t>
        </is>
      </c>
      <c r="D207" s="8" t="inlineStr">
        <is>
          <t>Yes</t>
        </is>
      </c>
      <c r="E207" s="8" t="inlineStr">
        <is>
          <t>AI Forecast Project — Part I</t>
        </is>
      </c>
    </row>
    <row r="208">
      <c r="A208" s="11" t="inlineStr">
        <is>
          <t>2026-10-02</t>
        </is>
      </c>
      <c r="B208" s="11" t="inlineStr">
        <is>
          <t>ANTH-202</t>
        </is>
      </c>
      <c r="C208" s="16" t="inlineStr">
        <is>
          <t>Assignment</t>
        </is>
      </c>
      <c r="D208" s="11" t="inlineStr">
        <is>
          <t>Yes</t>
        </is>
      </c>
      <c r="E208" s="11" t="inlineStr">
        <is>
          <t>Peer Review Workshop 1 (Topic) — discussion board + comment list</t>
        </is>
      </c>
    </row>
    <row r="209">
      <c r="A209" s="8" t="inlineStr">
        <is>
          <t>2026-10-06</t>
        </is>
      </c>
      <c r="B209" s="8" t="inlineStr">
        <is>
          <t>HIST-103</t>
        </is>
      </c>
      <c r="C209" s="47" t="inlineStr">
        <is>
          <t>Exam</t>
        </is>
      </c>
      <c r="D209" s="8" t="inlineStr">
        <is>
          <t>Yes</t>
        </is>
      </c>
      <c r="E209" s="8" t="inlineStr">
        <is>
          <t>Midterm Exam</t>
        </is>
      </c>
    </row>
    <row r="210">
      <c r="A210" s="11" t="inlineStr">
        <is>
          <t>2026-10-07</t>
        </is>
      </c>
      <c r="B210" s="11" t="inlineStr">
        <is>
          <t>BUAD-281</t>
        </is>
      </c>
      <c r="C210" s="46" t="inlineStr">
        <is>
          <t>Homework</t>
        </is>
      </c>
      <c r="D210" s="11" t="inlineStr">
        <is>
          <t>Yes</t>
        </is>
      </c>
      <c r="E210" s="11" t="inlineStr">
        <is>
          <t>Class 12 (10/7) - 6-24, 6-25, 6-34; 15 Points</t>
        </is>
      </c>
    </row>
    <row r="211">
      <c r="A211" s="8" t="inlineStr">
        <is>
          <t>2026-10-09</t>
        </is>
      </c>
      <c r="B211" s="8" t="inlineStr">
        <is>
          <t>ECON-351</t>
        </is>
      </c>
      <c r="C211" s="15" t="inlineStr">
        <is>
          <t>Homework</t>
        </is>
      </c>
      <c r="D211" s="8" t="inlineStr">
        <is>
          <t>Yes</t>
        </is>
      </c>
      <c r="E211" s="8" t="inlineStr">
        <is>
          <t>Homework 6 (Chapter 6) — Brightspace, due 11:59 pm</t>
        </is>
      </c>
    </row>
    <row r="212">
      <c r="A212" s="11" t="inlineStr">
        <is>
          <t>2026-10-12</t>
        </is>
      </c>
      <c r="B212" s="11" t="inlineStr">
        <is>
          <t>ECON-351</t>
        </is>
      </c>
      <c r="C212" s="120" t="inlineStr">
        <is>
          <t>Exam</t>
        </is>
      </c>
      <c r="D212" s="11" t="inlineStr">
        <is>
          <t>Yes</t>
        </is>
      </c>
      <c r="E212" s="11" t="inlineStr">
        <is>
          <t>Midterm 2 — covers Chapters 3, 5, and 6</t>
        </is>
      </c>
    </row>
    <row r="213">
      <c r="A213" s="8" t="inlineStr">
        <is>
          <t>2026-10-12</t>
        </is>
      </c>
      <c r="B213" s="8" t="inlineStr">
        <is>
          <t>ECON-351</t>
        </is>
      </c>
      <c r="C213" s="25" t="inlineStr">
        <is>
          <t>Assignment</t>
        </is>
      </c>
      <c r="D213" s="8" t="inlineStr">
        <is>
          <t>Yes</t>
        </is>
      </c>
      <c r="E213" s="8" t="inlineStr">
        <is>
          <t>Second midterm exam</t>
        </is>
      </c>
    </row>
    <row r="214">
      <c r="A214" s="11" t="inlineStr">
        <is>
          <t>2026-10-13</t>
        </is>
      </c>
      <c r="B214" s="11" t="inlineStr">
        <is>
          <t>ANTH-202</t>
        </is>
      </c>
      <c r="C214" s="120" t="inlineStr">
        <is>
          <t>Exam</t>
        </is>
      </c>
      <c r="D214" s="11" t="inlineStr">
        <is>
          <t>Yes</t>
        </is>
      </c>
      <c r="E214" s="11" t="inlineStr">
        <is>
          <t>Midterm Exam — online open-book via Brightspace (Oct 13, 2:00–3:20pm window)</t>
        </is>
      </c>
    </row>
    <row r="215">
      <c r="A215" s="8" t="inlineStr">
        <is>
          <t>2026-10-13</t>
        </is>
      </c>
      <c r="B215" s="8" t="inlineStr">
        <is>
          <t>ANTH-202</t>
        </is>
      </c>
      <c r="C215" s="25" t="inlineStr">
        <is>
          <t>Assignment</t>
        </is>
      </c>
      <c r="D215" s="8" t="inlineStr">
        <is>
          <t>Yes</t>
        </is>
      </c>
      <c r="E215" s="8" t="inlineStr">
        <is>
          <t>Midterm Exam</t>
        </is>
      </c>
    </row>
    <row r="216">
      <c r="A216" s="11" t="inlineStr">
        <is>
          <t>2026-10-14</t>
        </is>
      </c>
      <c r="B216" s="11" t="inlineStr">
        <is>
          <t>BUAD-281</t>
        </is>
      </c>
      <c r="C216" s="46" t="inlineStr">
        <is>
          <t>Homework</t>
        </is>
      </c>
      <c r="D216" s="11" t="inlineStr">
        <is>
          <t>Yes</t>
        </is>
      </c>
      <c r="E216" s="11" t="inlineStr">
        <is>
          <t>Class 14 (10/14) - 7-29, 7-33, 7-40; 15 Points</t>
        </is>
      </c>
    </row>
  </sheetData>
  <mergeCells count="142">
    <mergeCell ref="E36:K36"/>
    <mergeCell ref="E119:K119"/>
    <mergeCell ref="E101:K101"/>
    <mergeCell ref="E113:K113"/>
    <mergeCell ref="E91:K91"/>
    <mergeCell ref="E85:K85"/>
    <mergeCell ref="E100:K100"/>
    <mergeCell ref="E136:K136"/>
    <mergeCell ref="E75:K75"/>
    <mergeCell ref="E53:K53"/>
    <mergeCell ref="E115:K115"/>
    <mergeCell ref="E93:K93"/>
    <mergeCell ref="E146:K146"/>
    <mergeCell ref="E102:K102"/>
    <mergeCell ref="C17:K17"/>
    <mergeCell ref="E117:K117"/>
    <mergeCell ref="E55:K55"/>
    <mergeCell ref="E122:K122"/>
    <mergeCell ref="E67:K67"/>
    <mergeCell ref="A149:K149"/>
    <mergeCell ref="E39:K39"/>
    <mergeCell ref="E127:K127"/>
    <mergeCell ref="E132:K132"/>
    <mergeCell ref="A163:K163"/>
    <mergeCell ref="E48:K48"/>
    <mergeCell ref="C19:K19"/>
    <mergeCell ref="A2:K2"/>
    <mergeCell ref="E29:K29"/>
    <mergeCell ref="E38:K38"/>
    <mergeCell ref="E103:K103"/>
    <mergeCell ref="E147:K147"/>
    <mergeCell ref="A151:K151"/>
    <mergeCell ref="E31:K31"/>
    <mergeCell ref="E40:K40"/>
    <mergeCell ref="E95:K95"/>
    <mergeCell ref="E89:K89"/>
    <mergeCell ref="E104:K104"/>
    <mergeCell ref="E26:K26"/>
    <mergeCell ref="E110:K110"/>
    <mergeCell ref="E124:K124"/>
    <mergeCell ref="E120:K120"/>
    <mergeCell ref="E76:K76"/>
    <mergeCell ref="E25:K25"/>
    <mergeCell ref="E66:K66"/>
    <mergeCell ref="E58:K58"/>
    <mergeCell ref="E50:K50"/>
    <mergeCell ref="E106:K106"/>
    <mergeCell ref="E121:K121"/>
    <mergeCell ref="E130:K130"/>
    <mergeCell ref="E68:K68"/>
    <mergeCell ref="E42:K42"/>
    <mergeCell ref="E52:K52"/>
    <mergeCell ref="E83:K83"/>
    <mergeCell ref="E123:K123"/>
    <mergeCell ref="E135:K135"/>
    <mergeCell ref="E92:K92"/>
    <mergeCell ref="E141:K141"/>
    <mergeCell ref="E44:K44"/>
    <mergeCell ref="C18:K18"/>
    <mergeCell ref="E107:K107"/>
    <mergeCell ref="E143:K143"/>
    <mergeCell ref="E94:K94"/>
    <mergeCell ref="E69:K69"/>
    <mergeCell ref="E84:K84"/>
    <mergeCell ref="E78:K78"/>
    <mergeCell ref="A171:K171"/>
    <mergeCell ref="E118:K118"/>
    <mergeCell ref="E30:K30"/>
    <mergeCell ref="E114:K114"/>
    <mergeCell ref="E59:K59"/>
    <mergeCell ref="E77:K77"/>
    <mergeCell ref="E133:K133"/>
    <mergeCell ref="E46:K46"/>
    <mergeCell ref="E108:K108"/>
    <mergeCell ref="E86:K86"/>
    <mergeCell ref="C20:K20"/>
    <mergeCell ref="E80:K80"/>
    <mergeCell ref="E61:K61"/>
    <mergeCell ref="E70:K70"/>
    <mergeCell ref="E144:K144"/>
    <mergeCell ref="E57:K57"/>
    <mergeCell ref="E54:K54"/>
    <mergeCell ref="E32:K32"/>
    <mergeCell ref="E125:K125"/>
    <mergeCell ref="E72:K72"/>
    <mergeCell ref="A1:K1"/>
    <mergeCell ref="E41:K41"/>
    <mergeCell ref="E81:K81"/>
    <mergeCell ref="E112:K112"/>
    <mergeCell ref="E134:K134"/>
    <mergeCell ref="C21:K21"/>
    <mergeCell ref="E109:K109"/>
    <mergeCell ref="E47:K47"/>
    <mergeCell ref="E56:K56"/>
    <mergeCell ref="E96:K96"/>
    <mergeCell ref="E43:K43"/>
    <mergeCell ref="E111:K111"/>
    <mergeCell ref="E33:K33"/>
    <mergeCell ref="E98:K98"/>
    <mergeCell ref="E88:K88"/>
    <mergeCell ref="E126:K126"/>
    <mergeCell ref="E82:K82"/>
    <mergeCell ref="E140:K140"/>
    <mergeCell ref="E35:K35"/>
    <mergeCell ref="A14:K14"/>
    <mergeCell ref="E138:K138"/>
    <mergeCell ref="A23:K23"/>
    <mergeCell ref="E28:K28"/>
    <mergeCell ref="A4:K4"/>
    <mergeCell ref="E60:K60"/>
    <mergeCell ref="E74:K74"/>
    <mergeCell ref="E45:K45"/>
    <mergeCell ref="C16:K16"/>
    <mergeCell ref="E116:K116"/>
    <mergeCell ref="E37:K37"/>
    <mergeCell ref="E97:K97"/>
    <mergeCell ref="E145:K145"/>
    <mergeCell ref="E139:K139"/>
    <mergeCell ref="E62:K62"/>
    <mergeCell ref="E71:K71"/>
    <mergeCell ref="E129:K129"/>
    <mergeCell ref="E142:K142"/>
    <mergeCell ref="A3:K3"/>
    <mergeCell ref="E64:K64"/>
    <mergeCell ref="E79:K79"/>
    <mergeCell ref="E73:K73"/>
    <mergeCell ref="E131:K131"/>
    <mergeCell ref="E51:K51"/>
    <mergeCell ref="E87:K87"/>
    <mergeCell ref="A175:K175"/>
    <mergeCell ref="E63:K63"/>
    <mergeCell ref="E128:K128"/>
    <mergeCell ref="E137:K137"/>
    <mergeCell ref="C15:K15"/>
    <mergeCell ref="E65:K65"/>
    <mergeCell ref="E34:K34"/>
    <mergeCell ref="E90:K90"/>
    <mergeCell ref="E105:K105"/>
    <mergeCell ref="A152:K152"/>
    <mergeCell ref="E99:K99"/>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G23"/>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s>
  <sheetData>
    <row r="1" ht="26" customHeight="1">
      <c r="A1" s="294" t="inlineStr">
        <is>
          <t>Graduation Plan — Marshall BBA (128 units)</t>
        </is>
      </c>
    </row>
    <row r="2">
      <c r="A2" s="295" t="inlineStr">
        <is>
          <t>Term</t>
        </is>
      </c>
      <c r="B2" s="295" t="inlineStr">
        <is>
          <t>Course Code</t>
        </is>
      </c>
      <c r="C2" s="295" t="inlineStr">
        <is>
          <t>Course Title</t>
        </is>
      </c>
      <c r="D2" s="295" t="inlineStr">
        <is>
          <t>Requirement Satisfied</t>
        </is>
      </c>
      <c r="E2" s="295" t="inlineStr">
        <is>
          <t>Units</t>
        </is>
      </c>
      <c r="F2" s="295" t="inlineStr">
        <is>
          <t>Semester Total</t>
        </is>
      </c>
      <c r="G2" s="295" t="inlineStr">
        <is>
          <t>Cumulative Total</t>
        </is>
      </c>
    </row>
    <row r="3">
      <c r="A3" s="296" t="inlineStr">
        <is>
          <t>Prior Credit</t>
        </is>
      </c>
      <c r="B3" s="297" t="inlineStr"/>
      <c r="C3" s="298" t="inlineStr">
        <is>
          <t>Transfer / Prior USC Work</t>
        </is>
      </c>
      <c r="D3" s="297" t="inlineStr"/>
      <c r="E3" s="297" t="inlineStr"/>
      <c r="F3" s="297" t="inlineStr"/>
      <c r="G3" s="297" t="inlineStr">
        <is>
          <t>51.0</t>
        </is>
      </c>
    </row>
    <row r="4">
      <c r="A4" s="296" t="inlineStr">
        <is>
          <t>Fall 2026</t>
        </is>
      </c>
      <c r="B4" s="299">
        <f>HYPERLINK("#'BUAD-304'!A1","BUAD 304")</f>
        <v/>
      </c>
      <c r="C4" s="300" t="inlineStr">
        <is>
          <t>Organizational Behavior and Leadership</t>
        </is>
      </c>
      <c r="D4" s="301" t="inlineStr">
        <is>
          <t>Marshall Core</t>
        </is>
      </c>
      <c r="E4" s="301" t="inlineStr">
        <is>
          <t>4.0</t>
        </is>
      </c>
      <c r="F4" s="301" t="inlineStr">
        <is>
          <t>12.0</t>
        </is>
      </c>
      <c r="G4" s="301" t="inlineStr">
        <is>
          <t>63.0</t>
        </is>
      </c>
    </row>
    <row r="5">
      <c r="A5" s="297" t="inlineStr"/>
      <c r="B5" s="302">
        <f>HYPERLINK("#'ECON-351'!A1","ECON 351")</f>
        <v/>
      </c>
      <c r="C5" s="298" t="inlineStr">
        <is>
          <t>Microeconomics for Business</t>
        </is>
      </c>
      <c r="D5" s="297" t="inlineStr">
        <is>
          <t>Marshall Core / Econ</t>
        </is>
      </c>
      <c r="E5" s="297" t="inlineStr">
        <is>
          <t>4.0</t>
        </is>
      </c>
      <c r="F5" s="297" t="inlineStr"/>
      <c r="G5" s="297" t="inlineStr"/>
    </row>
    <row r="6">
      <c r="A6" s="301" t="inlineStr"/>
      <c r="B6" s="301" t="inlineStr">
        <is>
          <t>Rel 137</t>
        </is>
      </c>
      <c r="C6" s="300" t="inlineStr">
        <is>
          <t>Intro to Islam</t>
        </is>
      </c>
      <c r="D6" s="301" t="inlineStr">
        <is>
          <t>GE Category B</t>
        </is>
      </c>
      <c r="E6" s="301" t="inlineStr">
        <is>
          <t>4.0</t>
        </is>
      </c>
      <c r="F6" s="301" t="inlineStr"/>
      <c r="G6" s="301" t="inlineStr"/>
    </row>
    <row r="7">
      <c r="A7" s="296" t="inlineStr">
        <is>
          <t>Spring 2027</t>
        </is>
      </c>
      <c r="B7" s="302">
        <f>HYPERLINK("#'BUAD-281'!A1","BUAD 281")</f>
        <v/>
      </c>
      <c r="C7" s="298" t="inlineStr">
        <is>
          <t>Introduction to Managerial Accounting</t>
        </is>
      </c>
      <c r="D7" s="297" t="inlineStr">
        <is>
          <t>Marshall Core</t>
        </is>
      </c>
      <c r="E7" s="297" t="inlineStr">
        <is>
          <t>3.0</t>
        </is>
      </c>
      <c r="F7" s="297" t="inlineStr">
        <is>
          <t>15.0</t>
        </is>
      </c>
      <c r="G7" s="297" t="inlineStr">
        <is>
          <t>78.0</t>
        </is>
      </c>
    </row>
    <row r="8">
      <c r="A8" s="301" t="inlineStr"/>
      <c r="B8" s="301" t="inlineStr">
        <is>
          <t>BUAD 306</t>
        </is>
      </c>
      <c r="C8" s="300" t="inlineStr">
        <is>
          <t>Business Finance</t>
        </is>
      </c>
      <c r="D8" s="301" t="inlineStr">
        <is>
          <t>Marshall Core</t>
        </is>
      </c>
      <c r="E8" s="301" t="inlineStr">
        <is>
          <t>4.0</t>
        </is>
      </c>
      <c r="F8" s="301" t="inlineStr"/>
      <c r="G8" s="301" t="inlineStr"/>
    </row>
    <row r="9">
      <c r="A9" s="297" t="inlineStr"/>
      <c r="B9" s="297" t="inlineStr">
        <is>
          <t>ECON 352</t>
        </is>
      </c>
      <c r="C9" s="298" t="inlineStr">
        <is>
          <t>Macroeconomics for Business</t>
        </is>
      </c>
      <c r="D9" s="297" t="inlineStr">
        <is>
          <t>Major Requirement</t>
        </is>
      </c>
      <c r="E9" s="297" t="inlineStr">
        <is>
          <t>4.0</t>
        </is>
      </c>
      <c r="F9" s="297" t="inlineStr"/>
      <c r="G9" s="297" t="inlineStr"/>
    </row>
    <row r="10">
      <c r="A10" s="301" t="inlineStr"/>
      <c r="B10" s="301" t="inlineStr">
        <is>
          <t>GE-C Course</t>
        </is>
      </c>
      <c r="C10" s="300" t="inlineStr">
        <is>
          <t>Approved Social Analysis Course</t>
        </is>
      </c>
      <c r="D10" s="301" t="inlineStr">
        <is>
          <t>GE Category C</t>
        </is>
      </c>
      <c r="E10" s="301" t="inlineStr">
        <is>
          <t>4.0</t>
        </is>
      </c>
      <c r="F10" s="301" t="inlineStr"/>
      <c r="G10" s="301" t="inlineStr"/>
    </row>
    <row r="11">
      <c r="A11" s="296" t="inlineStr">
        <is>
          <t>Fall 2027</t>
        </is>
      </c>
      <c r="B11" s="297" t="inlineStr">
        <is>
          <t>BUAD 302</t>
        </is>
      </c>
      <c r="C11" s="298" t="inlineStr">
        <is>
          <t>Communication Strategy for Business</t>
        </is>
      </c>
      <c r="D11" s="297" t="inlineStr">
        <is>
          <t>Marshall Core</t>
        </is>
      </c>
      <c r="E11" s="297" t="inlineStr">
        <is>
          <t>4.0</t>
        </is>
      </c>
      <c r="F11" s="297" t="inlineStr">
        <is>
          <t>12.0</t>
        </is>
      </c>
      <c r="G11" s="297" t="inlineStr">
        <is>
          <t>90.0</t>
        </is>
      </c>
    </row>
    <row r="12">
      <c r="A12" s="301" t="inlineStr"/>
      <c r="B12" s="301" t="inlineStr">
        <is>
          <t>BUAD 310</t>
        </is>
      </c>
      <c r="C12" s="300" t="inlineStr">
        <is>
          <t>Applied Business Statistics</t>
        </is>
      </c>
      <c r="D12" s="301" t="inlineStr">
        <is>
          <t>Marshall Core</t>
        </is>
      </c>
      <c r="E12" s="301" t="inlineStr">
        <is>
          <t>4.0</t>
        </is>
      </c>
      <c r="F12" s="301" t="inlineStr"/>
      <c r="G12" s="301" t="inlineStr"/>
    </row>
    <row r="13">
      <c r="A13" s="297" t="inlineStr"/>
      <c r="B13" s="297" t="inlineStr">
        <is>
          <t>GE-D Course</t>
        </is>
      </c>
      <c r="C13" s="298" t="inlineStr">
        <is>
          <t>Approved Life Sciences Course</t>
        </is>
      </c>
      <c r="D13" s="297" t="inlineStr">
        <is>
          <t>GE Category D</t>
        </is>
      </c>
      <c r="E13" s="297" t="inlineStr">
        <is>
          <t>4.0</t>
        </is>
      </c>
      <c r="F13" s="297" t="inlineStr"/>
      <c r="G13" s="297" t="inlineStr"/>
    </row>
    <row r="14">
      <c r="A14" s="296" t="inlineStr">
        <is>
          <t>Spring 2028</t>
        </is>
      </c>
      <c r="B14" s="301" t="inlineStr">
        <is>
          <t>BUAD 311</t>
        </is>
      </c>
      <c r="C14" s="300" t="inlineStr">
        <is>
          <t>Operations Management</t>
        </is>
      </c>
      <c r="D14" s="301" t="inlineStr">
        <is>
          <t>Marshall Core</t>
        </is>
      </c>
      <c r="E14" s="301" t="inlineStr">
        <is>
          <t>4.0</t>
        </is>
      </c>
      <c r="F14" s="301" t="inlineStr">
        <is>
          <t>12.0</t>
        </is>
      </c>
      <c r="G14" s="301" t="inlineStr">
        <is>
          <t>102.0</t>
        </is>
      </c>
    </row>
    <row r="15">
      <c r="A15" s="297" t="inlineStr"/>
      <c r="B15" s="297" t="inlineStr">
        <is>
          <t>WRIT 340</t>
        </is>
      </c>
      <c r="C15" s="298" t="inlineStr">
        <is>
          <t>Advanced Writing</t>
        </is>
      </c>
      <c r="D15" s="297" t="inlineStr">
        <is>
          <t>Upper Division Writing</t>
        </is>
      </c>
      <c r="E15" s="297" t="inlineStr">
        <is>
          <t>4.0</t>
        </is>
      </c>
      <c r="F15" s="297" t="inlineStr"/>
      <c r="G15" s="297" t="inlineStr"/>
    </row>
    <row r="16">
      <c r="A16" s="301" t="inlineStr"/>
      <c r="B16" s="301" t="inlineStr">
        <is>
          <t>GE-E Course</t>
        </is>
      </c>
      <c r="C16" s="300" t="inlineStr">
        <is>
          <t>Approved Physical Sciences Course</t>
        </is>
      </c>
      <c r="D16" s="301" t="inlineStr">
        <is>
          <t>GE Category E</t>
        </is>
      </c>
      <c r="E16" s="301" t="inlineStr">
        <is>
          <t>4.0</t>
        </is>
      </c>
      <c r="F16" s="301" t="inlineStr"/>
      <c r="G16" s="301" t="inlineStr"/>
    </row>
    <row r="17">
      <c r="A17" s="296" t="inlineStr">
        <is>
          <t>Fall 2028</t>
        </is>
      </c>
      <c r="B17" s="297" t="inlineStr">
        <is>
          <t>BUAD 425</t>
        </is>
      </c>
      <c r="C17" s="298" t="inlineStr">
        <is>
          <t>Data Analysis for Decision Making</t>
        </is>
      </c>
      <c r="D17" s="297" t="inlineStr">
        <is>
          <t>Marshall Core</t>
        </is>
      </c>
      <c r="E17" s="297" t="inlineStr">
        <is>
          <t>2.0</t>
        </is>
      </c>
      <c r="F17" s="297" t="inlineStr">
        <is>
          <t>14.0</t>
        </is>
      </c>
      <c r="G17" s="297" t="inlineStr">
        <is>
          <t>116.0</t>
        </is>
      </c>
    </row>
    <row r="18">
      <c r="A18" s="301" t="inlineStr"/>
      <c r="B18" s="301" t="inlineStr">
        <is>
          <t>Elective</t>
        </is>
      </c>
      <c r="C18" s="300" t="inlineStr">
        <is>
          <t>Upper-Division Marshall Elective (1 of 3)</t>
        </is>
      </c>
      <c r="D18" s="301" t="inlineStr">
        <is>
          <t>Major Elective</t>
        </is>
      </c>
      <c r="E18" s="301" t="inlineStr">
        <is>
          <t>4.0</t>
        </is>
      </c>
      <c r="F18" s="301" t="inlineStr"/>
      <c r="G18" s="301" t="inlineStr"/>
    </row>
    <row r="19">
      <c r="A19" s="297" t="inlineStr"/>
      <c r="B19" s="297" t="inlineStr">
        <is>
          <t>Elective</t>
        </is>
      </c>
      <c r="C19" s="298" t="inlineStr">
        <is>
          <t>Upper-Division Marshall Elective (2 of 3)</t>
        </is>
      </c>
      <c r="D19" s="297" t="inlineStr">
        <is>
          <t>Major Elective</t>
        </is>
      </c>
      <c r="E19" s="297" t="inlineStr">
        <is>
          <t>4.0</t>
        </is>
      </c>
      <c r="F19" s="297" t="inlineStr"/>
      <c r="G19" s="297" t="inlineStr"/>
    </row>
    <row r="20">
      <c r="A20" s="301" t="inlineStr"/>
      <c r="B20" s="301" t="inlineStr">
        <is>
          <t>Elective</t>
        </is>
      </c>
      <c r="C20" s="300" t="inlineStr">
        <is>
          <t>General Free Elective</t>
        </is>
      </c>
      <c r="D20" s="301" t="inlineStr">
        <is>
          <t>Degree Units</t>
        </is>
      </c>
      <c r="E20" s="301" t="inlineStr">
        <is>
          <t>4.0</t>
        </is>
      </c>
      <c r="F20" s="301" t="inlineStr"/>
      <c r="G20" s="301" t="inlineStr"/>
    </row>
    <row r="21">
      <c r="A21" s="296" t="inlineStr">
        <is>
          <t>Spring 2029</t>
        </is>
      </c>
      <c r="B21" s="297" t="inlineStr">
        <is>
          <t>BUAD 497</t>
        </is>
      </c>
      <c r="C21" s="298" t="inlineStr">
        <is>
          <t>Strategic Management</t>
        </is>
      </c>
      <c r="D21" s="297" t="inlineStr">
        <is>
          <t>Capstone Core</t>
        </is>
      </c>
      <c r="E21" s="297" t="inlineStr">
        <is>
          <t>4.0</t>
        </is>
      </c>
      <c r="F21" s="297" t="inlineStr">
        <is>
          <t>12.0</t>
        </is>
      </c>
      <c r="G21" s="297" t="inlineStr">
        <is>
          <t>128.0</t>
        </is>
      </c>
    </row>
    <row r="22">
      <c r="A22" s="301" t="inlineStr"/>
      <c r="B22" s="301" t="inlineStr">
        <is>
          <t>Elective</t>
        </is>
      </c>
      <c r="C22" s="300" t="inlineStr">
        <is>
          <t>Upper-Division Marshall Elective (3 of 3)</t>
        </is>
      </c>
      <c r="D22" s="301" t="inlineStr">
        <is>
          <t>Major Elective</t>
        </is>
      </c>
      <c r="E22" s="301" t="inlineStr">
        <is>
          <t>4.0</t>
        </is>
      </c>
      <c r="F22" s="301" t="inlineStr"/>
      <c r="G22" s="301" t="inlineStr"/>
    </row>
    <row r="23">
      <c r="A23" s="297" t="inlineStr"/>
      <c r="B23" s="297" t="inlineStr">
        <is>
          <t>Elective</t>
        </is>
      </c>
      <c r="C23" s="298" t="inlineStr">
        <is>
          <t>General Free Elective</t>
        </is>
      </c>
      <c r="D23" s="297" t="inlineStr">
        <is>
          <t>Degree Units</t>
        </is>
      </c>
      <c r="E23" s="297" t="inlineStr">
        <is>
          <t>4.0</t>
        </is>
      </c>
      <c r="F23" s="297" t="inlineStr"/>
      <c r="G23" s="297" t="inlineStr"/>
    </row>
  </sheetData>
  <mergeCells count="1">
    <mergeCell ref="A1:G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2026-08-30T01:56:03Z</dcterms:modified>
</cp:coreProperties>
</file>