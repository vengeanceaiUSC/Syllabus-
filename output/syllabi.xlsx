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Graduation Plan" sheetId="2" state="visible" r:id="rId2"/>
    <sheet xmlns:r="http://schemas.openxmlformats.org/officeDocument/2006/relationships" name="ANTH-202" sheetId="3" state="visible" r:id="rId3"/>
    <sheet xmlns:r="http://schemas.openxmlformats.org/officeDocument/2006/relationships" name="BUAD-281" sheetId="4" state="visible" r:id="rId4"/>
    <sheet xmlns:r="http://schemas.openxmlformats.org/officeDocument/2006/relationships" name="BUAD-304" sheetId="5" state="visible" r:id="rId5"/>
    <sheet xmlns:r="http://schemas.openxmlformats.org/officeDocument/2006/relationships" name="ECON-351" sheetId="6" state="visible" r:id="rId6"/>
    <sheet xmlns:r="http://schemas.openxmlformats.org/officeDocument/2006/relationships" name="HIST-103" sheetId="7" state="visible" r:id="rId7"/>
    <sheet xmlns:r="http://schemas.openxmlformats.org/officeDocument/2006/relationships" name="JS-310" sheetId="8" state="visible" r:id="rId8"/>
    <sheet xmlns:r="http://schemas.openxmlformats.org/officeDocument/2006/relationships" name="SPAN-290" sheetId="9" state="visible" r:id="rId9"/>
  </sheets>
  <definedNames/>
  <calcPr calcId="124519" fullCalcOnLoad="1"/>
</workbook>
</file>

<file path=xl/styles.xml><?xml version="1.0" encoding="utf-8"?>
<styleSheet xmlns="http://schemas.openxmlformats.org/spreadsheetml/2006/main">
  <numFmts count="0"/>
  <fonts count="42">
    <font>
      <name val="Calibri"/>
      <family val="2"/>
      <color theme="1"/>
      <sz val="11"/>
      <scheme val="minor"/>
    </font>
    <font>
      <b val="1"/>
      <color rgb="00FFFFFF"/>
      <sz val="14"/>
    </font>
    <font>
      <b val="1"/>
      <color rgb="00C00000"/>
      <sz val="20"/>
      <u val="single"/>
    </font>
    <font>
      <b val="1"/>
    </font>
    <font>
      <b val="1"/>
      <color rgb="00C00000"/>
    </font>
    <font>
      <b val="1"/>
      <color rgb="00D62728"/>
      <sz val="11"/>
    </font>
    <font>
      <b val="1"/>
      <color rgb="00FFFFFF"/>
    </font>
    <font>
      <b val="1"/>
      <sz val="11"/>
    </font>
    <font>
      <b val="1"/>
      <color rgb="00D62728"/>
      <sz val="13"/>
    </font>
    <font>
      <color rgb="000563C1"/>
      <u val="single"/>
    </font>
    <font>
      <b val="1"/>
      <color rgb="007030A0"/>
      <sz val="11"/>
    </font>
    <font>
      <b val="1"/>
      <color rgb="00C00000"/>
      <sz val="11"/>
    </font>
    <font>
      <b val="1"/>
      <color rgb="001F4E79"/>
      <sz val="11"/>
    </font>
    <font>
      <b val="1"/>
      <color rgb="00FFFFFF"/>
      <sz val="16"/>
    </font>
    <font>
      <i val="1"/>
    </font>
    <font>
      <i val="1"/>
      <color rgb="00404040"/>
    </font>
    <font>
      <i val="1"/>
      <color rgb="000070C0"/>
    </font>
    <font>
      <b val="1"/>
      <color rgb="000563C1"/>
      <u val="single"/>
    </font>
    <font>
      <b val="1"/>
      <color rgb="000070C0"/>
    </font>
    <font>
      <b val="1"/>
      <i val="1"/>
      <color rgb="000070C0"/>
    </font>
    <font>
      <b val="1"/>
      <color rgb="00C65911"/>
    </font>
    <font>
      <b val="1"/>
      <color rgb="007030A0"/>
    </font>
    <font>
      <b val="1"/>
      <color rgb="00375623"/>
    </font>
    <font>
      <b val="1"/>
      <color rgb="00FF7F0E"/>
      <sz val="11"/>
    </font>
    <font>
      <b val="1"/>
      <color rgb="00FF7F0E"/>
      <sz val="13"/>
    </font>
    <font>
      <b val="1"/>
      <color rgb="00C65911"/>
      <sz val="11"/>
    </font>
    <font>
      <b val="1"/>
      <color rgb="000070C0"/>
      <sz val="11"/>
    </font>
    <font>
      <b val="1"/>
      <color rgb="001F77B4"/>
      <sz val="11"/>
    </font>
    <font>
      <b val="1"/>
      <color rgb="001F77B4"/>
      <sz val="13"/>
    </font>
    <font>
      <b val="1"/>
      <color rgb="00375623"/>
      <sz val="11"/>
    </font>
    <font>
      <i val="1"/>
      <color rgb="00808080"/>
      <sz val="9"/>
    </font>
    <font>
      <b val="1"/>
      <color rgb="009467BD"/>
      <sz val="11"/>
    </font>
    <font>
      <b val="1"/>
      <color rgb="009467BD"/>
      <sz val="13"/>
    </font>
    <font>
      <b val="1"/>
      <color rgb="002CA02C"/>
      <sz val="11"/>
    </font>
    <font>
      <b val="1"/>
      <color rgb="002CA02C"/>
      <sz val="13"/>
    </font>
    <font>
      <b val="1"/>
      <color rgb="008C564B"/>
      <sz val="11"/>
    </font>
    <font>
      <b val="1"/>
      <color rgb="008C564B"/>
      <sz val="13"/>
    </font>
    <font>
      <b val="1"/>
      <color rgb="00548235"/>
      <sz val="12"/>
      <u val="single"/>
    </font>
    <font>
      <b val="1"/>
      <color rgb="00C00000"/>
      <sz val="11"/>
      <u val="single"/>
    </font>
    <font>
      <color rgb="00404040"/>
      <sz val="9"/>
    </font>
    <font>
      <b val="1"/>
      <color rgb="00C00000"/>
      <sz val="12"/>
      <u val="single"/>
    </font>
    <font>
      <b val="1"/>
      <color rgb="007F6000"/>
    </font>
  </fonts>
  <fills count="52">
    <fill>
      <patternFill/>
    </fill>
    <fill>
      <patternFill patternType="gray125"/>
    </fill>
    <fill>
      <patternFill patternType="solid">
        <fgColor rgb="00D62728"/>
      </patternFill>
    </fill>
    <fill>
      <patternFill patternType="solid">
        <fgColor rgb="00FFF2CC"/>
      </patternFill>
    </fill>
    <fill>
      <patternFill patternType="solid">
        <fgColor rgb="00F5CFCF"/>
      </patternFill>
    </fill>
    <fill>
      <patternFill patternType="solid">
        <fgColor rgb="00F8DEDE"/>
      </patternFill>
    </fill>
    <fill>
      <patternFill patternType="solid">
        <fgColor rgb="00F3C2C2"/>
      </patternFill>
    </fill>
    <fill>
      <patternFill patternType="solid">
        <fgColor rgb="00FDF6F6"/>
      </patternFill>
    </fill>
    <fill>
      <patternFill patternType="solid">
        <fgColor rgb="00FCEFEF"/>
      </patternFill>
    </fill>
    <fill>
      <patternFill patternType="solid">
        <fgColor rgb="00203764"/>
      </patternFill>
    </fill>
    <fill>
      <patternFill patternType="solid">
        <fgColor rgb="00DDEBF7"/>
      </patternFill>
    </fill>
    <fill>
      <patternFill patternType="solid">
        <fgColor rgb="004472C4"/>
      </patternFill>
    </fill>
    <fill>
      <patternFill patternType="solid">
        <fgColor rgb="00FFFFFF"/>
      </patternFill>
    </fill>
    <fill>
      <patternFill patternType="solid">
        <fgColor rgb="00F2F2F2"/>
      </patternFill>
    </fill>
    <fill>
      <patternFill patternType="solid">
        <fgColor rgb="00D9E1F2"/>
      </patternFill>
    </fill>
    <fill>
      <patternFill patternType="solid">
        <fgColor rgb="005B9BD5"/>
      </patternFill>
    </fill>
    <fill>
      <patternFill patternType="solid">
        <fgColor rgb="00F5FAFD"/>
      </patternFill>
    </fill>
    <fill>
      <patternFill patternType="solid">
        <fgColor rgb="00E8F4FC"/>
      </patternFill>
    </fill>
    <fill>
      <patternFill patternType="solid">
        <fgColor rgb="00FF7F0E"/>
      </patternFill>
    </fill>
    <fill>
      <patternFill patternType="solid">
        <fgColor rgb="00FFE2C9"/>
      </patternFill>
    </fill>
    <fill>
      <patternFill patternType="solid">
        <fgColor rgb="00E2EFDA"/>
      </patternFill>
    </fill>
    <fill>
      <patternFill patternType="solid">
        <fgColor rgb="00FFEBDA"/>
      </patternFill>
    </fill>
    <fill>
      <patternFill patternType="solid">
        <fgColor rgb="00FFDBBB"/>
      </patternFill>
    </fill>
    <fill>
      <patternFill patternType="solid">
        <fgColor rgb="00FFF9F5"/>
      </patternFill>
    </fill>
    <fill>
      <patternFill patternType="solid">
        <fgColor rgb="00FFF6EE"/>
      </patternFill>
    </fill>
    <fill>
      <patternFill patternType="solid">
        <fgColor rgb="001F77B4"/>
      </patternFill>
    </fill>
    <fill>
      <patternFill patternType="solid">
        <fgColor rgb="00CDE1EE"/>
      </patternFill>
    </fill>
    <fill>
      <patternFill patternType="solid">
        <fgColor rgb="00DDEAF3"/>
      </patternFill>
    </fill>
    <fill>
      <patternFill patternType="solid">
        <fgColor rgb="00C0D8EA"/>
      </patternFill>
    </fill>
    <fill>
      <patternFill patternType="solid">
        <fgColor rgb="00F6F9FC"/>
      </patternFill>
    </fill>
    <fill>
      <patternFill patternType="solid">
        <fgColor rgb="00EFF5F9"/>
      </patternFill>
    </fill>
    <fill>
      <patternFill patternType="solid">
        <fgColor rgb="009467BD"/>
      </patternFill>
    </fill>
    <fill>
      <patternFill patternType="solid">
        <fgColor rgb="00E7DDF0"/>
      </patternFill>
    </fill>
    <fill>
      <patternFill patternType="solid">
        <fgColor rgb="00EEE8F5"/>
      </patternFill>
    </fill>
    <fill>
      <patternFill patternType="solid">
        <fgColor rgb="00E1D4EC"/>
      </patternFill>
    </fill>
    <fill>
      <patternFill patternType="solid">
        <fgColor rgb="00FAF8FC"/>
      </patternFill>
    </fill>
    <fill>
      <patternFill patternType="solid">
        <fgColor rgb="00F7F4FA"/>
      </patternFill>
    </fill>
    <fill>
      <patternFill patternType="solid">
        <fgColor rgb="002CA02C"/>
      </patternFill>
    </fill>
    <fill>
      <patternFill patternType="solid">
        <fgColor rgb="00D0EAD0"/>
      </patternFill>
    </fill>
    <fill>
      <patternFill patternType="solid">
        <fgColor rgb="00DFF0DF"/>
      </patternFill>
    </fill>
    <fill>
      <patternFill patternType="solid">
        <fgColor rgb="00C3E4C3"/>
      </patternFill>
    </fill>
    <fill>
      <patternFill patternType="solid">
        <fgColor rgb="00F6FBF6"/>
      </patternFill>
    </fill>
    <fill>
      <patternFill patternType="solid">
        <fgColor rgb="00F0F8F0"/>
      </patternFill>
    </fill>
    <fill>
      <patternFill patternType="solid">
        <fgColor rgb="008C564B"/>
      </patternFill>
    </fill>
    <fill>
      <patternFill patternType="solid">
        <fgColor rgb="00E5D9D7"/>
      </patternFill>
    </fill>
    <fill>
      <patternFill patternType="solid">
        <fgColor rgb="00EDE5E4"/>
      </patternFill>
    </fill>
    <fill>
      <patternFill patternType="solid">
        <fgColor rgb="00DECFCC"/>
      </patternFill>
    </fill>
    <fill>
      <patternFill patternType="solid">
        <fgColor rgb="00FAF8F7"/>
      </patternFill>
    </fill>
    <fill>
      <patternFill patternType="solid">
        <fgColor rgb="00F6F3F2"/>
      </patternFill>
    </fill>
    <fill>
      <patternFill patternType="solid">
        <fgColor rgb="00548235"/>
      </patternFill>
    </fill>
    <fill>
      <patternFill patternType="solid">
        <fgColor rgb="0070AD47"/>
      </patternFill>
    </fill>
    <fill>
      <patternFill patternType="solid">
        <fgColor rgb="00C6E0B4"/>
      </patternFill>
    </fill>
  </fills>
  <borders count="6">
    <border>
      <left/>
      <right/>
      <top/>
      <bottom/>
      <diagonal/>
    </border>
    <border>
      <left style="thin">
        <color rgb="00D9D9D9"/>
      </left>
      <right style="thin">
        <color rgb="00D9D9D9"/>
      </right>
      <top style="thin">
        <color rgb="00D9D9D9"/>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s>
  <cellStyleXfs count="1">
    <xf numFmtId="0" fontId="0" fillId="0" borderId="0"/>
  </cellStyleXfs>
  <cellXfs count="422">
    <xf numFmtId="0" fontId="0" fillId="0" borderId="0" pivotButton="0" quotePrefix="0" xfId="0"/>
    <xf numFmtId="0" fontId="13" fillId="9" borderId="0" applyAlignment="1" pivotButton="0" quotePrefix="0" xfId="0">
      <alignment horizontal="left" vertical="center"/>
    </xf>
    <xf numFmtId="0" fontId="14" fillId="0" borderId="0" pivotButton="0" quotePrefix="0" xfId="0"/>
    <xf numFmtId="0" fontId="15" fillId="0" borderId="0" pivotButton="0" quotePrefix="0" xfId="0"/>
    <xf numFmtId="0" fontId="16" fillId="10" borderId="0" applyAlignment="1" pivotButton="0" quotePrefix="0" xfId="0">
      <alignment wrapText="1"/>
    </xf>
    <xf numFmtId="0" fontId="4" fillId="3" borderId="0" applyAlignment="1" pivotButton="0" quotePrefix="0" xfId="0">
      <alignment wrapText="1"/>
    </xf>
    <xf numFmtId="0" fontId="6" fillId="11" borderId="1" applyAlignment="1" pivotButton="0" quotePrefix="0" xfId="0">
      <alignment horizontal="center" vertical="center" wrapText="1"/>
    </xf>
    <xf numFmtId="0" fontId="17" fillId="12" borderId="1" applyAlignment="1" pivotButton="0" quotePrefix="0" xfId="0">
      <alignment vertical="top" wrapText="1"/>
    </xf>
    <xf numFmtId="0" fontId="0" fillId="12" borderId="1" applyAlignment="1" pivotButton="0" quotePrefix="0" xfId="0">
      <alignment vertical="top" wrapText="1"/>
    </xf>
    <xf numFmtId="0" fontId="18" fillId="12" borderId="1" applyAlignment="1" pivotButton="0" quotePrefix="0" xfId="0">
      <alignment vertical="top" wrapText="1"/>
    </xf>
    <xf numFmtId="0" fontId="17" fillId="13" borderId="1" applyAlignment="1" pivotButton="0" quotePrefix="0" xfId="0">
      <alignment vertical="top" wrapText="1"/>
    </xf>
    <xf numFmtId="0" fontId="0" fillId="13" borderId="1" applyAlignment="1" pivotButton="0" quotePrefix="0" xfId="0">
      <alignment vertical="top" wrapText="1"/>
    </xf>
    <xf numFmtId="0" fontId="19" fillId="13" borderId="1" applyAlignment="1" pivotButton="0" quotePrefix="0" xfId="0">
      <alignment vertical="top" wrapText="1"/>
    </xf>
    <xf numFmtId="0" fontId="3" fillId="14" borderId="0" pivotButton="0" quotePrefix="0" xfId="0"/>
    <xf numFmtId="0" fontId="6" fillId="11" borderId="1" pivotButton="0" quotePrefix="0" xfId="0"/>
    <xf numFmtId="0" fontId="20" fillId="12" borderId="1" applyAlignment="1" pivotButton="0" quotePrefix="0" xfId="0">
      <alignment vertical="top" wrapText="1"/>
    </xf>
    <xf numFmtId="0" fontId="21" fillId="13" borderId="1" applyAlignment="1" pivotButton="0" quotePrefix="0" xfId="0">
      <alignment vertical="top" wrapText="1"/>
    </xf>
    <xf numFmtId="0" fontId="3" fillId="10" borderId="0" pivotButton="0" quotePrefix="0" xfId="0"/>
    <xf numFmtId="0" fontId="6" fillId="15" borderId="1" pivotButton="0" quotePrefix="0" xfId="0"/>
    <xf numFmtId="0" fontId="0" fillId="16" borderId="1" applyAlignment="1" pivotButton="0" quotePrefix="0" xfId="0">
      <alignment vertical="top" wrapText="1"/>
    </xf>
    <xf numFmtId="0" fontId="20" fillId="16" borderId="1" applyAlignment="1" pivotButton="0" quotePrefix="0" xfId="0">
      <alignment vertical="top" wrapText="1"/>
    </xf>
    <xf numFmtId="0" fontId="16" fillId="16" borderId="1" applyAlignment="1" pivotButton="0" quotePrefix="0" xfId="0">
      <alignment vertical="top" wrapText="1"/>
    </xf>
    <xf numFmtId="0" fontId="0" fillId="17" borderId="1" applyAlignment="1" pivotButton="0" quotePrefix="0" xfId="0">
      <alignment vertical="top" wrapText="1"/>
    </xf>
    <xf numFmtId="0" fontId="20" fillId="17" borderId="1" applyAlignment="1" pivotButton="0" quotePrefix="0" xfId="0">
      <alignment vertical="top" wrapText="1"/>
    </xf>
    <xf numFmtId="0" fontId="16" fillId="17" borderId="1" applyAlignment="1" pivotButton="0" quotePrefix="0" xfId="0">
      <alignment vertical="top" wrapText="1"/>
    </xf>
    <xf numFmtId="0" fontId="21" fillId="12" borderId="1" applyAlignment="1" pivotButton="0" quotePrefix="0" xfId="0">
      <alignment vertical="top" wrapText="1"/>
    </xf>
    <xf numFmtId="0" fontId="22" fillId="12" borderId="1" applyAlignment="1" pivotButton="0" quotePrefix="0" xfId="0">
      <alignment vertical="top" wrapText="1"/>
    </xf>
    <xf numFmtId="0" fontId="1" fillId="2" borderId="0" applyAlignment="1" pivotButton="0" quotePrefix="0" xfId="0">
      <alignment horizontal="left" vertical="center"/>
    </xf>
    <xf numFmtId="0" fontId="2" fillId="3" borderId="0" applyAlignment="1" pivotButton="0" quotePrefix="0" xfId="0">
      <alignment horizontal="center" vertical="center"/>
    </xf>
    <xf numFmtId="0" fontId="3" fillId="0" borderId="0" pivotButton="0" quotePrefix="0" xfId="0"/>
    <xf numFmtId="0" fontId="4" fillId="0" borderId="0" pivotButton="0" quotePrefix="0" xfId="0"/>
    <xf numFmtId="0" fontId="5" fillId="4" borderId="0" applyAlignment="1" pivotButton="0" quotePrefix="0" xfId="0">
      <alignment horizontal="left" vertical="center" wrapText="1"/>
    </xf>
    <xf numFmtId="0" fontId="6" fillId="2" borderId="1" applyAlignment="1" pivotButton="0" quotePrefix="0" xfId="0">
      <alignment horizontal="center" vertical="center"/>
    </xf>
    <xf numFmtId="0" fontId="7" fillId="5" borderId="1" applyAlignment="1" pivotButton="0" quotePrefix="0" xfId="0">
      <alignment horizontal="left" vertical="center" wrapText="1"/>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9" fillId="5" borderId="1" applyAlignment="1" pivotButton="0" quotePrefix="0" xfId="0">
      <alignment horizontal="left" vertical="center" wrapText="1"/>
    </xf>
    <xf numFmtId="0" fontId="10" fillId="7" borderId="1" applyAlignment="1" pivotButton="0" quotePrefix="0" xfId="0">
      <alignment horizontal="left" vertical="center" wrapText="1"/>
    </xf>
    <xf numFmtId="0" fontId="0" fillId="7" borderId="1" applyAlignment="1" pivotButton="0" quotePrefix="0" xfId="0">
      <alignment horizontal="left" vertical="center"/>
    </xf>
    <xf numFmtId="0" fontId="0" fillId="7" borderId="1" applyAlignment="1" pivotButton="0" quotePrefix="0" xfId="0">
      <alignment horizontal="left" vertical="center" wrapText="1"/>
    </xf>
    <xf numFmtId="0" fontId="7" fillId="8" borderId="1" applyAlignment="1" pivotButton="0" quotePrefix="0" xfId="0">
      <alignment horizontal="left" vertical="center" wrapText="1"/>
    </xf>
    <xf numFmtId="0" fontId="0" fillId="8" borderId="1" applyAlignment="1" pivotButton="0" quotePrefix="0" xfId="0">
      <alignment horizontal="left" vertical="center"/>
    </xf>
    <xf numFmtId="0" fontId="9" fillId="8" borderId="1" applyAlignment="1" pivotButton="0" quotePrefix="0" xfId="0">
      <alignment horizontal="left" vertical="center" wrapText="1"/>
    </xf>
    <xf numFmtId="0" fontId="11" fillId="7" borderId="1" applyAlignment="1" pivotButton="0" quotePrefix="0" xfId="0">
      <alignment horizontal="left" vertical="center" wrapText="1"/>
    </xf>
    <xf numFmtId="0" fontId="12" fillId="7" borderId="1" applyAlignment="1" pivotButton="0" quotePrefix="0" xfId="0">
      <alignment horizontal="left" vertical="center" wrapText="1"/>
    </xf>
    <xf numFmtId="0" fontId="8" fillId="0" borderId="0" pivotButton="0" quotePrefix="0" xfId="0"/>
    <xf numFmtId="0" fontId="20" fillId="13" borderId="1" applyAlignment="1" pivotButton="0" quotePrefix="0" xfId="0">
      <alignment vertical="top" wrapText="1"/>
    </xf>
    <xf numFmtId="0" fontId="4" fillId="12" borderId="1" applyAlignment="1" pivotButton="0" quotePrefix="0" xfId="0">
      <alignment vertical="top" wrapText="1"/>
    </xf>
    <xf numFmtId="0" fontId="1" fillId="18" borderId="0" applyAlignment="1" pivotButton="0" quotePrefix="0" xfId="0">
      <alignment horizontal="left" vertical="center"/>
    </xf>
    <xf numFmtId="0" fontId="23" fillId="19" borderId="0" applyAlignment="1" pivotButton="0" quotePrefix="0" xfId="0">
      <alignment horizontal="left" vertical="center" wrapText="1"/>
    </xf>
    <xf numFmtId="0" fontId="0" fillId="20" borderId="0" applyAlignment="1" pivotButton="0" quotePrefix="0" xfId="0">
      <alignment vertical="top" wrapText="1"/>
    </xf>
    <xf numFmtId="0" fontId="6" fillId="18" borderId="1" applyAlignment="1" pivotButton="0" quotePrefix="0" xfId="0">
      <alignment horizontal="center" vertical="center"/>
    </xf>
    <xf numFmtId="0" fontId="7" fillId="21" borderId="1" applyAlignment="1" pivotButton="0" quotePrefix="0" xfId="0">
      <alignment horizontal="left" vertical="center" wrapText="1"/>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9" fillId="21" borderId="1" applyAlignment="1" pivotButton="0" quotePrefix="0" xfId="0">
      <alignment horizontal="left" vertical="center" wrapText="1"/>
    </xf>
    <xf numFmtId="0" fontId="11" fillId="23" borderId="1" applyAlignment="1" pivotButton="0" quotePrefix="0" xfId="0">
      <alignment horizontal="left" vertical="center" wrapText="1"/>
    </xf>
    <xf numFmtId="0" fontId="0" fillId="23" borderId="1" applyAlignment="1" pivotButton="0" quotePrefix="0" xfId="0">
      <alignment horizontal="left" vertical="center"/>
    </xf>
    <xf numFmtId="0" fontId="0" fillId="23" borderId="1" applyAlignment="1" pivotButton="0" quotePrefix="0" xfId="0">
      <alignment horizontal="left" vertical="center" wrapText="1"/>
    </xf>
    <xf numFmtId="0" fontId="7" fillId="24" borderId="1" applyAlignment="1" pivotButton="0" quotePrefix="0" xfId="0">
      <alignment horizontal="left" vertical="center" wrapText="1"/>
    </xf>
    <xf numFmtId="0" fontId="0" fillId="24" borderId="1" applyAlignment="1" pivotButton="0" quotePrefix="0" xfId="0">
      <alignment horizontal="left" vertical="center"/>
    </xf>
    <xf numFmtId="0" fontId="9" fillId="24" borderId="1" applyAlignment="1" pivotButton="0" quotePrefix="0" xfId="0">
      <alignment horizontal="left" vertical="center" wrapText="1"/>
    </xf>
    <xf numFmtId="0" fontId="12" fillId="23" borderId="1" applyAlignment="1" pivotButton="0" quotePrefix="0" xfId="0">
      <alignment horizontal="left" vertical="center" wrapText="1"/>
    </xf>
    <xf numFmtId="0" fontId="25" fillId="23" borderId="1" applyAlignment="1" pivotButton="0" quotePrefix="0" xfId="0">
      <alignment horizontal="left" vertical="center" wrapText="1"/>
    </xf>
    <xf numFmtId="0" fontId="26" fillId="23" borderId="1" applyAlignment="1" pivotButton="0" quotePrefix="0" xfId="0">
      <alignment horizontal="left" vertical="center" wrapText="1"/>
    </xf>
    <xf numFmtId="0" fontId="24" fillId="0" borderId="0" pivotButton="0" quotePrefix="0" xfId="0"/>
    <xf numFmtId="0" fontId="1" fillId="25" borderId="0" applyAlignment="1" pivotButton="0" quotePrefix="0" xfId="0">
      <alignment horizontal="left" vertical="center"/>
    </xf>
    <xf numFmtId="0" fontId="27" fillId="26" borderId="0" applyAlignment="1" pivotButton="0" quotePrefix="0" xfId="0">
      <alignment horizontal="left" vertical="center" wrapText="1"/>
    </xf>
    <xf numFmtId="0" fontId="16" fillId="10" borderId="0" applyAlignment="1" pivotButton="0" quotePrefix="0" xfId="0">
      <alignment vertical="top" wrapText="1"/>
    </xf>
    <xf numFmtId="0" fontId="6" fillId="25" borderId="1" applyAlignment="1" pivotButton="0" quotePrefix="0" xfId="0">
      <alignment horizontal="center" vertical="center"/>
    </xf>
    <xf numFmtId="0" fontId="7" fillId="27" borderId="1" applyAlignment="1" pivotButton="0" quotePrefix="0" xfId="0">
      <alignment horizontal="left" vertical="center" wrapText="1"/>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9" fillId="27" borderId="1" applyAlignment="1" pivotButton="0" quotePrefix="0" xfId="0">
      <alignment horizontal="left" vertical="center" wrapText="1"/>
    </xf>
    <xf numFmtId="0" fontId="11" fillId="29" borderId="1" applyAlignment="1" pivotButton="0" quotePrefix="0" xfId="0">
      <alignment horizontal="left" vertical="center" wrapText="1"/>
    </xf>
    <xf numFmtId="0" fontId="0" fillId="29" borderId="1" applyAlignment="1" pivotButton="0" quotePrefix="0" xfId="0">
      <alignment horizontal="left" vertical="center"/>
    </xf>
    <xf numFmtId="0" fontId="0" fillId="29" borderId="1" applyAlignment="1" pivotButton="0" quotePrefix="0" xfId="0">
      <alignment horizontal="left" vertical="center" wrapText="1"/>
    </xf>
    <xf numFmtId="0" fontId="7" fillId="30" borderId="1" applyAlignment="1" pivotButton="0" quotePrefix="0" xfId="0">
      <alignment horizontal="left" vertical="center" wrapText="1"/>
    </xf>
    <xf numFmtId="0" fontId="0" fillId="30" borderId="1" applyAlignment="1" pivotButton="0" quotePrefix="0" xfId="0">
      <alignment horizontal="left" vertical="center"/>
    </xf>
    <xf numFmtId="0" fontId="9" fillId="30" borderId="1" applyAlignment="1" pivotButton="0" quotePrefix="0" xfId="0">
      <alignment horizontal="left" vertical="center" wrapText="1"/>
    </xf>
    <xf numFmtId="0" fontId="29" fillId="29" borderId="1" applyAlignment="1" pivotButton="0" quotePrefix="0" xfId="0">
      <alignment horizontal="left" vertical="center" wrapText="1"/>
    </xf>
    <xf numFmtId="0" fontId="10" fillId="29" borderId="1" applyAlignment="1" pivotButton="0" quotePrefix="0" xfId="0">
      <alignment horizontal="left" vertical="center" wrapText="1"/>
    </xf>
    <xf numFmtId="0" fontId="25" fillId="29" borderId="1" applyAlignment="1" pivotButton="0" quotePrefix="0" xfId="0">
      <alignment horizontal="left" vertical="center" wrapText="1"/>
    </xf>
    <xf numFmtId="0" fontId="28" fillId="0" borderId="0" pivotButton="0" quotePrefix="0" xfId="0"/>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9" fillId="12" borderId="1" applyAlignment="1" pivotButton="0" quotePrefix="0" xfId="0">
      <alignment vertical="top" wrapText="1"/>
    </xf>
    <xf numFmtId="0" fontId="9" fillId="13" borderId="1" applyAlignment="1" pivotButton="0" quotePrefix="0" xfId="0">
      <alignment vertical="top" wrapText="1"/>
    </xf>
    <xf numFmtId="0" fontId="22" fillId="13" borderId="1" applyAlignment="1" pivotButton="0" quotePrefix="0" xfId="0">
      <alignment vertical="top" wrapText="1"/>
    </xf>
    <xf numFmtId="0" fontId="30" fillId="0" borderId="0" pivotButton="0" quotePrefix="0" xfId="0"/>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3" fillId="12" borderId="1" pivotButton="0" quotePrefix="0" xfId="0"/>
    <xf numFmtId="0" fontId="0" fillId="12" borderId="1" pivotButton="0" quotePrefix="0" xfId="0"/>
    <xf numFmtId="0" fontId="3" fillId="13" borderId="1" pivotButton="0" quotePrefix="0" xfId="0"/>
    <xf numFmtId="0" fontId="0" fillId="13" borderId="1" pivotButton="0" quotePrefix="0" xfId="0"/>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4" fillId="13" borderId="1" applyAlignment="1" pivotButton="0" quotePrefix="0" xfId="0">
      <alignment vertical="top" wrapText="1"/>
    </xf>
    <xf numFmtId="0" fontId="1" fillId="31" borderId="0" applyAlignment="1" pivotButton="0" quotePrefix="0" xfId="0">
      <alignment horizontal="left" vertical="center"/>
    </xf>
    <xf numFmtId="0" fontId="31" fillId="32" borderId="0" applyAlignment="1" pivotButton="0" quotePrefix="0" xfId="0">
      <alignment horizontal="left" vertical="center" wrapText="1"/>
    </xf>
    <xf numFmtId="0" fontId="6" fillId="31" borderId="1" applyAlignment="1" pivotButton="0" quotePrefix="0" xfId="0">
      <alignment horizontal="center" vertical="center"/>
    </xf>
    <xf numFmtId="0" fontId="7" fillId="33" borderId="1" applyAlignment="1" pivotButton="0" quotePrefix="0" xfId="0">
      <alignment horizontal="left" vertical="center" wrapText="1"/>
    </xf>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9" fillId="33" borderId="1" applyAlignment="1" pivotButton="0" quotePrefix="0" xfId="0">
      <alignment horizontal="left" vertical="center" wrapText="1"/>
    </xf>
    <xf numFmtId="0" fontId="11" fillId="35" borderId="1" applyAlignment="1" pivotButton="0" quotePrefix="0" xfId="0">
      <alignment horizontal="left" vertical="center" wrapText="1"/>
    </xf>
    <xf numFmtId="0" fontId="0" fillId="35" borderId="1" applyAlignment="1" pivotButton="0" quotePrefix="0" xfId="0">
      <alignment horizontal="left" vertical="center"/>
    </xf>
    <xf numFmtId="0" fontId="0" fillId="35" borderId="1" applyAlignment="1" pivotButton="0" quotePrefix="0" xfId="0">
      <alignment horizontal="left" vertical="center" wrapText="1"/>
    </xf>
    <xf numFmtId="0" fontId="7" fillId="36" borderId="1" applyAlignment="1" pivotButton="0" quotePrefix="0" xfId="0">
      <alignment horizontal="left" vertical="center" wrapText="1"/>
    </xf>
    <xf numFmtId="0" fontId="0" fillId="36" borderId="1" applyAlignment="1" pivotButton="0" quotePrefix="0" xfId="0">
      <alignment horizontal="left" vertical="center"/>
    </xf>
    <xf numFmtId="0" fontId="9" fillId="36" borderId="1" applyAlignment="1" pivotButton="0" quotePrefix="0" xfId="0">
      <alignment horizontal="left" vertical="center" wrapText="1"/>
    </xf>
    <xf numFmtId="0" fontId="10" fillId="35" borderId="1" applyAlignment="1" pivotButton="0" quotePrefix="0" xfId="0">
      <alignment horizontal="left" vertical="center" wrapText="1"/>
    </xf>
    <xf numFmtId="0" fontId="12" fillId="35" borderId="1" applyAlignment="1" pivotButton="0" quotePrefix="0" xfId="0">
      <alignment horizontal="left" vertical="center" wrapText="1"/>
    </xf>
    <xf numFmtId="0" fontId="25" fillId="35" borderId="1" applyAlignment="1" pivotButton="0" quotePrefix="0" xfId="0">
      <alignment horizontal="left" vertical="center" wrapText="1"/>
    </xf>
    <xf numFmtId="0" fontId="32" fillId="0" borderId="0" pivotButton="0" quotePrefix="0" xfId="0"/>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0" fillId="35" borderId="1" applyAlignment="1" pivotButton="0" quotePrefix="0" xfId="0">
      <alignment horizontal="left" vertical="center"/>
    </xf>
    <xf numFmtId="0" fontId="0" fillId="36" borderId="1" applyAlignment="1" pivotButton="0" quotePrefix="0" xfId="0">
      <alignment horizontal="left" vertical="center"/>
    </xf>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0" fillId="35" borderId="1" applyAlignment="1" pivotButton="0" quotePrefix="0" xfId="0">
      <alignment horizontal="left" vertical="center"/>
    </xf>
    <xf numFmtId="0" fontId="0" fillId="36" borderId="1" applyAlignment="1" pivotButton="0" quotePrefix="0" xfId="0">
      <alignment horizontal="left" vertical="center"/>
    </xf>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0" fillId="35" borderId="1" applyAlignment="1" pivotButton="0" quotePrefix="0" xfId="0">
      <alignment horizontal="left" vertical="center"/>
    </xf>
    <xf numFmtId="0" fontId="0" fillId="36"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1" fillId="37" borderId="0" applyAlignment="1" pivotButton="0" quotePrefix="0" xfId="0">
      <alignment horizontal="left" vertical="center"/>
    </xf>
    <xf numFmtId="0" fontId="33" fillId="38" borderId="0" applyAlignment="1" pivotButton="0" quotePrefix="0" xfId="0">
      <alignment horizontal="left" vertical="center" wrapText="1"/>
    </xf>
    <xf numFmtId="0" fontId="6" fillId="37" borderId="1" applyAlignment="1" pivotButton="0" quotePrefix="0" xfId="0">
      <alignment horizontal="center" vertical="center"/>
    </xf>
    <xf numFmtId="0" fontId="7" fillId="39" borderId="1" applyAlignment="1" pivotButton="0" quotePrefix="0" xfId="0">
      <alignment horizontal="left" vertical="center" wrapText="1"/>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9" fillId="39" borderId="1" applyAlignment="1" pivotButton="0" quotePrefix="0" xfId="0">
      <alignment horizontal="left" vertical="center" wrapText="1"/>
    </xf>
    <xf numFmtId="0" fontId="12" fillId="41" borderId="1" applyAlignment="1" pivotButton="0" quotePrefix="0" xfId="0">
      <alignment horizontal="left" vertical="center" wrapText="1"/>
    </xf>
    <xf numFmtId="0" fontId="0" fillId="41" borderId="1" applyAlignment="1" pivotButton="0" quotePrefix="0" xfId="0">
      <alignment horizontal="left" vertical="center"/>
    </xf>
    <xf numFmtId="0" fontId="0" fillId="41" borderId="1" applyAlignment="1" pivotButton="0" quotePrefix="0" xfId="0">
      <alignment horizontal="left" vertical="center" wrapText="1"/>
    </xf>
    <xf numFmtId="0" fontId="7" fillId="42" borderId="1" applyAlignment="1" pivotButton="0" quotePrefix="0" xfId="0">
      <alignment horizontal="left" vertical="center" wrapText="1"/>
    </xf>
    <xf numFmtId="0" fontId="0" fillId="42" borderId="1" applyAlignment="1" pivotButton="0" quotePrefix="0" xfId="0">
      <alignment horizontal="left" vertical="center"/>
    </xf>
    <xf numFmtId="0" fontId="9" fillId="42" borderId="1" applyAlignment="1" pivotButton="0" quotePrefix="0" xfId="0">
      <alignment horizontal="left" vertical="center" wrapText="1"/>
    </xf>
    <xf numFmtId="0" fontId="10" fillId="41" borderId="1" applyAlignment="1" pivotButton="0" quotePrefix="0" xfId="0">
      <alignment horizontal="left" vertical="center" wrapText="1"/>
    </xf>
    <xf numFmtId="0" fontId="11" fillId="41" borderId="1" applyAlignment="1" pivotButton="0" quotePrefix="0" xfId="0">
      <alignment horizontal="left" vertical="center" wrapText="1"/>
    </xf>
    <xf numFmtId="0" fontId="34" fillId="0" borderId="0" pivotButton="0" quotePrefix="0" xfId="0"/>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xf numFmtId="0" fontId="1" fillId="43" borderId="0" applyAlignment="1" pivotButton="0" quotePrefix="0" xfId="0">
      <alignment horizontal="left" vertical="center"/>
    </xf>
    <xf numFmtId="0" fontId="35" fillId="44" borderId="0" applyAlignment="1" pivotButton="0" quotePrefix="0" xfId="0">
      <alignment horizontal="left" vertical="center" wrapText="1"/>
    </xf>
    <xf numFmtId="0" fontId="6" fillId="43" borderId="1" applyAlignment="1" pivotButton="0" quotePrefix="0" xfId="0">
      <alignment horizontal="center" vertical="center"/>
    </xf>
    <xf numFmtId="0" fontId="7" fillId="45" borderId="1" applyAlignment="1" pivotButton="0" quotePrefix="0" xfId="0">
      <alignment horizontal="left" vertical="center" wrapText="1"/>
    </xf>
    <xf numFmtId="0" fontId="36" fillId="46" borderId="1" applyAlignment="1" pivotButton="0" quotePrefix="0" xfId="0">
      <alignment horizontal="right" vertical="center"/>
    </xf>
    <xf numFmtId="0" fontId="0" fillId="45" borderId="1" applyAlignment="1" pivotButton="0" quotePrefix="0" xfId="0">
      <alignment horizontal="left" vertical="center"/>
    </xf>
    <xf numFmtId="0" fontId="9" fillId="45" borderId="1" applyAlignment="1" pivotButton="0" quotePrefix="0" xfId="0">
      <alignment horizontal="left" vertical="center" wrapText="1"/>
    </xf>
    <xf numFmtId="0" fontId="25" fillId="47" borderId="1" applyAlignment="1" pivotButton="0" quotePrefix="0" xfId="0">
      <alignment horizontal="left" vertical="center" wrapText="1"/>
    </xf>
    <xf numFmtId="0" fontId="0" fillId="47" borderId="1" applyAlignment="1" pivotButton="0" quotePrefix="0" xfId="0">
      <alignment horizontal="left" vertical="center"/>
    </xf>
    <xf numFmtId="0" fontId="0" fillId="47" borderId="1" applyAlignment="1" pivotButton="0" quotePrefix="0" xfId="0">
      <alignment horizontal="left" vertical="center" wrapText="1"/>
    </xf>
    <xf numFmtId="0" fontId="7" fillId="48" borderId="1" applyAlignment="1" pivotButton="0" quotePrefix="0" xfId="0">
      <alignment horizontal="left" vertical="center" wrapText="1"/>
    </xf>
    <xf numFmtId="0" fontId="0" fillId="48" borderId="1" applyAlignment="1" pivotButton="0" quotePrefix="0" xfId="0">
      <alignment horizontal="left" vertical="center"/>
    </xf>
    <xf numFmtId="0" fontId="9" fillId="48" borderId="1" applyAlignment="1" pivotButton="0" quotePrefix="0" xfId="0">
      <alignment horizontal="left" vertical="center" wrapText="1"/>
    </xf>
    <xf numFmtId="0" fontId="10" fillId="47" borderId="1" applyAlignment="1" pivotButton="0" quotePrefix="0" xfId="0">
      <alignment horizontal="left" vertical="center" wrapText="1"/>
    </xf>
    <xf numFmtId="0" fontId="11" fillId="47" borderId="1" applyAlignment="1" pivotButton="0" quotePrefix="0" xfId="0">
      <alignment horizontal="left" vertical="center" wrapText="1"/>
    </xf>
    <xf numFmtId="0" fontId="36" fillId="0" borderId="0" pivotButton="0" quotePrefix="0" xfId="0"/>
    <xf numFmtId="0" fontId="36" fillId="46" borderId="1" applyAlignment="1" pivotButton="0" quotePrefix="0" xfId="0">
      <alignment horizontal="right" vertical="center"/>
    </xf>
    <xf numFmtId="0" fontId="0" fillId="45" borderId="1" applyAlignment="1" pivotButton="0" quotePrefix="0" xfId="0">
      <alignment horizontal="left" vertical="center"/>
    </xf>
    <xf numFmtId="0" fontId="0" fillId="47" borderId="1" applyAlignment="1" pivotButton="0" quotePrefix="0" xfId="0">
      <alignment horizontal="left" vertical="center"/>
    </xf>
    <xf numFmtId="0" fontId="0" fillId="48" borderId="1" applyAlignment="1" pivotButton="0" quotePrefix="0" xfId="0">
      <alignment horizontal="left" vertical="center"/>
    </xf>
    <xf numFmtId="0" fontId="36" fillId="46" borderId="1" applyAlignment="1" pivotButton="0" quotePrefix="0" xfId="0">
      <alignment horizontal="right" vertical="center"/>
    </xf>
    <xf numFmtId="0" fontId="0" fillId="45" borderId="1" applyAlignment="1" pivotButton="0" quotePrefix="0" xfId="0">
      <alignment horizontal="left" vertical="center"/>
    </xf>
    <xf numFmtId="0" fontId="0" fillId="47" borderId="1" applyAlignment="1" pivotButton="0" quotePrefix="0" xfId="0">
      <alignment horizontal="left" vertical="center"/>
    </xf>
    <xf numFmtId="0" fontId="0" fillId="48"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0" fillId="35" borderId="1" applyAlignment="1" pivotButton="0" quotePrefix="0" xfId="0">
      <alignment horizontal="left" vertical="center"/>
    </xf>
    <xf numFmtId="0" fontId="0" fillId="36"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22" fillId="20" borderId="1" applyAlignment="1" pivotButton="0" quotePrefix="0" xfId="0">
      <alignment horizontal="left" vertical="center"/>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xf numFmtId="0" fontId="36" fillId="46" borderId="1" applyAlignment="1" pivotButton="0" quotePrefix="0" xfId="0">
      <alignment horizontal="right" vertical="center"/>
    </xf>
    <xf numFmtId="0" fontId="0" fillId="45" borderId="1" applyAlignment="1" pivotButton="0" quotePrefix="0" xfId="0">
      <alignment horizontal="left" vertical="center"/>
    </xf>
    <xf numFmtId="0" fontId="0" fillId="47" borderId="1" applyAlignment="1" pivotButton="0" quotePrefix="0" xfId="0">
      <alignment horizontal="left" vertical="center"/>
    </xf>
    <xf numFmtId="0" fontId="0" fillId="48"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22" fillId="20" borderId="1" applyAlignment="1" pivotButton="0" quotePrefix="0" xfId="0">
      <alignment horizontal="left" vertical="center"/>
    </xf>
    <xf numFmtId="0" fontId="18" fillId="13" borderId="1" applyAlignment="1" pivotButton="0" quotePrefix="0" xfId="0">
      <alignment vertical="top" wrapText="1"/>
    </xf>
    <xf numFmtId="0" fontId="19" fillId="12" borderId="1" applyAlignment="1" pivotButton="0" quotePrefix="0" xfId="0">
      <alignment vertical="top" wrapText="1"/>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10" fillId="23" borderId="1" applyAlignment="1" pivotButton="0" quotePrefix="0" xfId="0">
      <alignment horizontal="left" vertical="center" wrapText="1"/>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22" fillId="20" borderId="1" applyAlignment="1" pivotButton="0" quotePrefix="0" xfId="0">
      <alignment horizontal="left" vertical="center"/>
    </xf>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0" fillId="35" borderId="1" applyAlignment="1" pivotButton="0" quotePrefix="0" xfId="0">
      <alignment horizontal="left" vertical="center"/>
    </xf>
    <xf numFmtId="0" fontId="0" fillId="36"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xf numFmtId="0" fontId="36" fillId="46" borderId="1" applyAlignment="1" pivotButton="0" quotePrefix="0" xfId="0">
      <alignment horizontal="right" vertical="center"/>
    </xf>
    <xf numFmtId="0" fontId="0" fillId="45" borderId="1" applyAlignment="1" pivotButton="0" quotePrefix="0" xfId="0">
      <alignment horizontal="left" vertical="center"/>
    </xf>
    <xf numFmtId="0" fontId="0" fillId="47" borderId="1" applyAlignment="1" pivotButton="0" quotePrefix="0" xfId="0">
      <alignment horizontal="left" vertical="center"/>
    </xf>
    <xf numFmtId="0" fontId="0" fillId="48"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1" fillId="49" borderId="0" applyAlignment="1" pivotButton="0" quotePrefix="0" xfId="0">
      <alignment horizontal="left" vertical="center"/>
    </xf>
    <xf numFmtId="0" fontId="6" fillId="50" borderId="1" applyAlignment="1" pivotButton="0" quotePrefix="0" xfId="0">
      <alignment horizontal="center" vertical="center" wrapText="1"/>
    </xf>
    <xf numFmtId="0" fontId="3" fillId="51" borderId="1" applyAlignment="1" pivotButton="0" quotePrefix="0" xfId="0">
      <alignment vertical="center"/>
    </xf>
    <xf numFmtId="0" fontId="0" fillId="12" borderId="1" applyAlignment="1" pivotButton="0" quotePrefix="0" xfId="0">
      <alignment vertical="center"/>
    </xf>
    <xf numFmtId="0" fontId="0" fillId="12" borderId="1" applyAlignment="1" pivotButton="0" quotePrefix="0" xfId="0">
      <alignment vertical="center" wrapText="1"/>
    </xf>
    <xf numFmtId="0" fontId="9" fillId="20" borderId="1" applyAlignment="1" pivotButton="0" quotePrefix="0" xfId="0">
      <alignment vertical="center"/>
    </xf>
    <xf numFmtId="0" fontId="0" fillId="20" borderId="1" applyAlignment="1" pivotButton="0" quotePrefix="0" xfId="0">
      <alignment vertical="center" wrapText="1"/>
    </xf>
    <xf numFmtId="0" fontId="0" fillId="20" borderId="1" applyAlignment="1" pivotButton="0" quotePrefix="0" xfId="0">
      <alignment vertical="center"/>
    </xf>
    <xf numFmtId="0" fontId="9" fillId="12" borderId="1" applyAlignment="1" pivotButton="0" quotePrefix="0" xfId="0">
      <alignment vertical="center"/>
    </xf>
    <xf numFmtId="0" fontId="37" fillId="20" borderId="0" applyAlignment="1" pivotButton="0" quotePrefix="0" xfId="0">
      <alignment horizontal="left" vertical="center"/>
    </xf>
    <xf numFmtId="0" fontId="3" fillId="51" borderId="1" applyAlignment="1" pivotButton="0" quotePrefix="0" xfId="0">
      <alignment vertical="center"/>
    </xf>
    <xf numFmtId="0" fontId="0" fillId="12" borderId="1" applyAlignment="1" pivotButton="0" quotePrefix="0" xfId="0">
      <alignment vertical="center"/>
    </xf>
    <xf numFmtId="0" fontId="9" fillId="20" borderId="1" applyAlignment="1" pivotButton="0" quotePrefix="0" xfId="0">
      <alignment vertical="center"/>
    </xf>
    <xf numFmtId="0" fontId="0" fillId="20" borderId="1" applyAlignment="1" pivotButton="0" quotePrefix="0" xfId="0">
      <alignment vertical="center"/>
    </xf>
    <xf numFmtId="0" fontId="9" fillId="12" borderId="1" applyAlignment="1" pivotButton="0" quotePrefix="0" xfId="0">
      <alignment vertical="center"/>
    </xf>
    <xf numFmtId="0" fontId="38" fillId="3" borderId="0" applyAlignment="1" pivotButton="0" quotePrefix="0" xfId="0">
      <alignment horizontal="left" vertical="center"/>
    </xf>
    <xf numFmtId="0" fontId="3" fillId="51" borderId="1" applyAlignment="1" pivotButton="0" quotePrefix="0" xfId="0">
      <alignment vertical="center"/>
    </xf>
    <xf numFmtId="0" fontId="0" fillId="20" borderId="1" applyAlignment="1" pivotButton="0" quotePrefix="0" xfId="0">
      <alignment vertical="center"/>
    </xf>
    <xf numFmtId="0" fontId="9" fillId="12" borderId="1" applyAlignment="1" pivotButton="0" quotePrefix="0" xfId="0">
      <alignment vertical="center"/>
    </xf>
    <xf numFmtId="0" fontId="0" fillId="12" borderId="1" applyAlignment="1" pivotButton="0" quotePrefix="0" xfId="0">
      <alignment vertical="center"/>
    </xf>
    <xf numFmtId="0" fontId="9" fillId="20" borderId="1" applyAlignment="1" pivotButton="0" quotePrefix="0" xfId="0">
      <alignment vertical="center"/>
    </xf>
    <xf numFmtId="0" fontId="40" fillId="3" borderId="0" applyAlignment="1" pivotButton="0" quotePrefix="0" xfId="0">
      <alignment horizontal="left" vertical="center"/>
    </xf>
    <xf numFmtId="0" fontId="39" fillId="3" borderId="0" applyAlignment="1" pivotButton="0" quotePrefix="0" xfId="0">
      <alignment wrapText="1"/>
    </xf>
    <xf numFmtId="0" fontId="3" fillId="51" borderId="1" applyAlignment="1" pivotButton="0" quotePrefix="0" xfId="0">
      <alignment vertical="center"/>
    </xf>
    <xf numFmtId="0" fontId="0" fillId="20" borderId="1" applyAlignment="1" pivotButton="0" quotePrefix="0" xfId="0">
      <alignment vertical="center"/>
    </xf>
    <xf numFmtId="0" fontId="9" fillId="12" borderId="1" applyAlignment="1" pivotButton="0" quotePrefix="0" xfId="0">
      <alignment vertical="center"/>
    </xf>
    <xf numFmtId="0" fontId="0" fillId="12" borderId="1" applyAlignment="1" pivotButton="0" quotePrefix="0" xfId="0">
      <alignment vertical="center"/>
    </xf>
    <xf numFmtId="0" fontId="9" fillId="20" borderId="1" applyAlignment="1" pivotButton="0" quotePrefix="0" xfId="0">
      <alignment vertical="center"/>
    </xf>
    <xf numFmtId="0" fontId="6" fillId="49" borderId="1" applyAlignment="1" pivotButton="0" quotePrefix="0" xfId="0">
      <alignment horizontal="center" vertical="center" wrapText="1"/>
    </xf>
    <xf numFmtId="0" fontId="3" fillId="51" borderId="1" applyAlignment="1" pivotButton="0" quotePrefix="0" xfId="0">
      <alignment vertical="center"/>
    </xf>
    <xf numFmtId="0" fontId="0" fillId="20" borderId="1" applyAlignment="1" pivotButton="0" quotePrefix="0" xfId="0">
      <alignment vertical="center"/>
    </xf>
    <xf numFmtId="0" fontId="9" fillId="12" borderId="1" applyAlignment="1" pivotButton="0" quotePrefix="0" xfId="0">
      <alignment vertical="center"/>
    </xf>
    <xf numFmtId="0" fontId="0" fillId="12" borderId="1" applyAlignment="1" pivotButton="0" quotePrefix="0" xfId="0">
      <alignment vertical="center"/>
    </xf>
    <xf numFmtId="0" fontId="9" fillId="20" borderId="1" applyAlignment="1" pivotButton="0" quotePrefix="0" xfId="0">
      <alignment vertical="center"/>
    </xf>
    <xf numFmtId="0" fontId="3" fillId="51" borderId="1" applyAlignment="1" pivotButton="0" quotePrefix="0" xfId="0">
      <alignment vertical="center"/>
    </xf>
    <xf numFmtId="0" fontId="0" fillId="20" borderId="1" applyAlignment="1" pivotButton="0" quotePrefix="0" xfId="0">
      <alignment vertical="center"/>
    </xf>
    <xf numFmtId="0" fontId="9" fillId="12" borderId="1" applyAlignment="1" pivotButton="0" quotePrefix="0" xfId="0">
      <alignment vertical="center"/>
    </xf>
    <xf numFmtId="0" fontId="0" fillId="12" borderId="1" applyAlignment="1" pivotButton="0" quotePrefix="0" xfId="0">
      <alignment vertical="center"/>
    </xf>
    <xf numFmtId="0" fontId="9" fillId="20" borderId="1" applyAlignment="1" pivotButton="0" quotePrefix="0" xfId="0">
      <alignment vertical="center"/>
    </xf>
    <xf numFmtId="0" fontId="3" fillId="51" borderId="1" applyAlignment="1" pivotButton="0" quotePrefix="0" xfId="0">
      <alignment vertical="center"/>
    </xf>
    <xf numFmtId="0" fontId="0" fillId="20" borderId="1" applyAlignment="1" pivotButton="0" quotePrefix="0" xfId="0">
      <alignment vertical="center"/>
    </xf>
    <xf numFmtId="0" fontId="9" fillId="12" borderId="1" applyAlignment="1" pivotButton="0" quotePrefix="0" xfId="0">
      <alignment vertical="center"/>
    </xf>
    <xf numFmtId="0" fontId="0" fillId="12" borderId="1" applyAlignment="1" pivotButton="0" quotePrefix="0" xfId="0">
      <alignment vertical="center"/>
    </xf>
    <xf numFmtId="0" fontId="9" fillId="20" borderId="1" applyAlignment="1" pivotButton="0" quotePrefix="0" xfId="0">
      <alignment vertical="center"/>
    </xf>
    <xf numFmtId="0" fontId="3" fillId="51" borderId="1" applyAlignment="1" pivotButton="0" quotePrefix="0" xfId="0">
      <alignment vertical="center"/>
    </xf>
    <xf numFmtId="0" fontId="0" fillId="20" borderId="1" applyAlignment="1" pivotButton="0" quotePrefix="0" xfId="0">
      <alignment vertical="center"/>
    </xf>
    <xf numFmtId="0" fontId="9" fillId="12" borderId="1" applyAlignment="1" pivotButton="0" quotePrefix="0" xfId="0">
      <alignment vertical="center"/>
    </xf>
    <xf numFmtId="0" fontId="0" fillId="12" borderId="1" applyAlignment="1" pivotButton="0" quotePrefix="0" xfId="0">
      <alignment vertical="center"/>
    </xf>
    <xf numFmtId="0" fontId="9" fillId="20" borderId="1" applyAlignment="1" pivotButton="0" quotePrefix="0" xfId="0">
      <alignmen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3" fillId="51" borderId="1" applyAlignment="1" pivotButton="0" quotePrefix="0" xfId="0">
      <alignment vertical="center"/>
    </xf>
    <xf numFmtId="0" fontId="0" fillId="20" borderId="1" applyAlignment="1" pivotButton="0" quotePrefix="0" xfId="0">
      <alignment vertical="center"/>
    </xf>
    <xf numFmtId="0" fontId="9" fillId="12" borderId="1" applyAlignment="1" pivotButton="0" quotePrefix="0" xfId="0">
      <alignment vertical="center"/>
    </xf>
    <xf numFmtId="0" fontId="0" fillId="12" borderId="1" applyAlignment="1" pivotButton="0" quotePrefix="0" xfId="0">
      <alignment vertical="center"/>
    </xf>
    <xf numFmtId="0" fontId="9" fillId="20" borderId="1" applyAlignment="1" pivotButton="0" quotePrefix="0" xfId="0">
      <alignmen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3" fillId="51" borderId="1" applyAlignment="1" pivotButton="0" quotePrefix="0" xfId="0">
      <alignment vertical="center"/>
    </xf>
    <xf numFmtId="0" fontId="0" fillId="20" borderId="1" applyAlignment="1" pivotButton="0" quotePrefix="0" xfId="0">
      <alignment vertical="center"/>
    </xf>
    <xf numFmtId="0" fontId="9" fillId="12" borderId="1" applyAlignment="1" pivotButton="0" quotePrefix="0" xfId="0">
      <alignment vertical="center"/>
    </xf>
    <xf numFmtId="0" fontId="0" fillId="12" borderId="1" applyAlignment="1" pivotButton="0" quotePrefix="0" xfId="0">
      <alignment vertical="center"/>
    </xf>
    <xf numFmtId="0" fontId="9" fillId="20" borderId="1" applyAlignment="1" pivotButton="0" quotePrefix="0" xfId="0">
      <alignment vertical="center"/>
    </xf>
    <xf numFmtId="0" fontId="41" fillId="3" borderId="0" applyAlignment="1" pivotButton="0" quotePrefix="0" xfId="0">
      <alignment vertical="top" wrapText="1"/>
    </xf>
    <xf numFmtId="0" fontId="0" fillId="3" borderId="0" applyAlignment="1" pivotButton="0" quotePrefix="0" xfId="0">
      <alignment vertical="top" wrapText="1"/>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3" fillId="51" borderId="1" applyAlignment="1" pivotButton="0" quotePrefix="0" xfId="0">
      <alignment vertical="center"/>
    </xf>
    <xf numFmtId="0" fontId="0" fillId="20" borderId="1" applyAlignment="1" pivotButton="0" quotePrefix="0" xfId="0">
      <alignment vertical="center"/>
    </xf>
    <xf numFmtId="0" fontId="9" fillId="12" borderId="1" applyAlignment="1" pivotButton="0" quotePrefix="0" xfId="0">
      <alignment vertical="center"/>
    </xf>
    <xf numFmtId="0" fontId="0" fillId="12" borderId="1" applyAlignment="1" pivotButton="0" quotePrefix="0" xfId="0">
      <alignment vertical="center"/>
    </xf>
    <xf numFmtId="0" fontId="9" fillId="20" borderId="1" applyAlignment="1" pivotButton="0" quotePrefix="0" xfId="0">
      <alignmen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3" fillId="51" borderId="1" applyAlignment="1" pivotButton="0" quotePrefix="0" xfId="0">
      <alignment vertical="center"/>
    </xf>
    <xf numFmtId="0" fontId="0" fillId="20" borderId="1" applyAlignment="1" pivotButton="0" quotePrefix="0" xfId="0">
      <alignment vertical="center"/>
    </xf>
    <xf numFmtId="0" fontId="9" fillId="12" borderId="1" applyAlignment="1" pivotButton="0" quotePrefix="0" xfId="0">
      <alignment vertical="center"/>
    </xf>
    <xf numFmtId="0" fontId="0" fillId="12" borderId="1" applyAlignment="1" pivotButton="0" quotePrefix="0" xfId="0">
      <alignment vertical="center"/>
    </xf>
    <xf numFmtId="0" fontId="9" fillId="20" borderId="1" applyAlignment="1" pivotButton="0" quotePrefix="0" xfId="0">
      <alignmen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22" fillId="20" borderId="1" applyAlignment="1" pivotButton="0" quotePrefix="0" xfId="0">
      <alignment horizontal="left" vertical="center"/>
    </xf>
    <xf numFmtId="0" fontId="3" fillId="51" borderId="1" applyAlignment="1" pivotButton="0" quotePrefix="0" xfId="0">
      <alignment vertical="center"/>
    </xf>
    <xf numFmtId="0" fontId="0" fillId="20" borderId="1" applyAlignment="1" pivotButton="0" quotePrefix="0" xfId="0">
      <alignment vertical="center"/>
    </xf>
    <xf numFmtId="0" fontId="9" fillId="12" borderId="1" applyAlignment="1" pivotButton="0" quotePrefix="0" xfId="0">
      <alignment vertical="center"/>
    </xf>
    <xf numFmtId="0" fontId="0" fillId="12" borderId="1" applyAlignment="1" pivotButton="0" quotePrefix="0" xfId="0">
      <alignment vertical="center"/>
    </xf>
    <xf numFmtId="0" fontId="9" fillId="20" borderId="1" applyAlignment="1" pivotButton="0" quotePrefix="0" xfId="0">
      <alignment vertical="center"/>
    </xf>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0" fillId="35" borderId="1" applyAlignment="1" pivotButton="0" quotePrefix="0" xfId="0">
      <alignment horizontal="left" vertical="center"/>
    </xf>
    <xf numFmtId="0" fontId="0" fillId="36" borderId="1" applyAlignment="1" pivotButton="0" quotePrefix="0" xfId="0">
      <alignment horizontal="left" vertical="center"/>
    </xf>
    <xf numFmtId="0" fontId="3" fillId="51" borderId="1" applyAlignment="1" pivotButton="0" quotePrefix="0" xfId="0">
      <alignment vertical="center"/>
    </xf>
    <xf numFmtId="0" fontId="0" fillId="20" borderId="1" applyAlignment="1" pivotButton="0" quotePrefix="0" xfId="0">
      <alignment vertical="center"/>
    </xf>
    <xf numFmtId="0" fontId="9" fillId="12" borderId="1" applyAlignment="1" pivotButton="0" quotePrefix="0" xfId="0">
      <alignment vertical="center"/>
    </xf>
    <xf numFmtId="0" fontId="0" fillId="12" borderId="1" applyAlignment="1" pivotButton="0" quotePrefix="0" xfId="0">
      <alignment vertical="center"/>
    </xf>
    <xf numFmtId="0" fontId="9" fillId="20" borderId="1" applyAlignment="1" pivotButton="0" quotePrefix="0" xfId="0">
      <alignmen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3" fillId="51" borderId="1" applyAlignment="1" pivotButton="0" quotePrefix="0" xfId="0">
      <alignment vertical="center"/>
    </xf>
    <xf numFmtId="0" fontId="0" fillId="20" borderId="1" applyAlignment="1" pivotButton="0" quotePrefix="0" xfId="0">
      <alignment vertical="center"/>
    </xf>
    <xf numFmtId="0" fontId="9" fillId="12" borderId="1" applyAlignment="1" pivotButton="0" quotePrefix="0" xfId="0">
      <alignment vertical="center"/>
    </xf>
    <xf numFmtId="0" fontId="0" fillId="12" borderId="1" applyAlignment="1" pivotButton="0" quotePrefix="0" xfId="0">
      <alignment vertical="center"/>
    </xf>
    <xf numFmtId="0" fontId="9" fillId="20" borderId="1" applyAlignment="1" pivotButton="0" quotePrefix="0" xfId="0">
      <alignment vertical="center"/>
    </xf>
    <xf numFmtId="0" fontId="36" fillId="46" borderId="1" applyAlignment="1" pivotButton="0" quotePrefix="0" xfId="0">
      <alignment horizontal="right" vertical="center"/>
    </xf>
    <xf numFmtId="0" fontId="0" fillId="45" borderId="1" applyAlignment="1" pivotButton="0" quotePrefix="0" xfId="0">
      <alignment horizontal="left" vertical="center"/>
    </xf>
    <xf numFmtId="0" fontId="0" fillId="47" borderId="1" applyAlignment="1" pivotButton="0" quotePrefix="0" xfId="0">
      <alignment horizontal="left" vertical="center"/>
    </xf>
    <xf numFmtId="0" fontId="0" fillId="48" borderId="1" applyAlignment="1" pivotButton="0" quotePrefix="0" xfId="0">
      <alignment horizontal="left" vertical="center"/>
    </xf>
    <xf numFmtId="0" fontId="3" fillId="51" borderId="1" applyAlignment="1" pivotButton="0" quotePrefix="0" xfId="0">
      <alignment vertical="center"/>
    </xf>
    <xf numFmtId="0" fontId="0" fillId="20" borderId="1" applyAlignment="1" pivotButton="0" quotePrefix="0" xfId="0">
      <alignment vertical="center"/>
    </xf>
    <xf numFmtId="0" fontId="9" fillId="12" borderId="1" applyAlignment="1" pivotButton="0" quotePrefix="0" xfId="0">
      <alignment vertical="center"/>
    </xf>
    <xf numFmtId="0" fontId="0" fillId="12" borderId="1" applyAlignment="1" pivotButton="0" quotePrefix="0" xfId="0">
      <alignment vertical="center"/>
    </xf>
    <xf numFmtId="0" fontId="9" fillId="20" borderId="1" applyAlignment="1" pivotButton="0" quotePrefix="0" xfId="0">
      <alignment vertical="center"/>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ratemyprofessors.com/professor/2432970" TargetMode="External" Id="rId1"/><Relationship Type="http://schemas.openxmlformats.org/officeDocument/2006/relationships/hyperlink" Target="https://www.ratemyprofessors.com/professor/2462056" TargetMode="External" Id="rId2"/><Relationship Type="http://schemas.openxmlformats.org/officeDocument/2006/relationships/hyperlink" Target="https://www.ratemyprofessors.com/professor/1808480" TargetMode="External" Id="rId3"/><Relationship Type="http://schemas.openxmlformats.org/officeDocument/2006/relationships/hyperlink" Target="https://www.ratemyprofessors.com/professor/2880539" TargetMode="External" Id="rId4"/><Relationship Type="http://schemas.openxmlformats.org/officeDocument/2006/relationships/hyperlink" Target="https://www.ratemyprofessors.com/professor/1642149" TargetMode="External" Id="rId5"/><Relationship Type="http://schemas.openxmlformats.org/officeDocument/2006/relationships/hyperlink" Target="https://www.ratemyprofessors.com/professor/2745347" TargetMode="External" Id="rId6"/><Relationship Type="http://schemas.openxmlformats.org/officeDocument/2006/relationships/hyperlink" Target="https://www.ratemyprofessors.com/professor/2132312" TargetMode="External" Id="rId7"/></Relationships>
</file>

<file path=xl/worksheets/sheet1.xml><?xml version="1.0" encoding="utf-8"?>
<worksheet xmlns="http://schemas.openxmlformats.org/spreadsheetml/2006/main">
  <sheetPr>
    <tabColor rgb="00203764"/>
    <outlinePr summaryBelow="0" summaryRight="1"/>
    <pageSetUpPr/>
  </sheetPr>
  <dimension ref="A1:K243"/>
  <sheetViews>
    <sheetView workbookViewId="0">
      <selection activeCell="A1" sqref="A1"/>
    </sheetView>
  </sheetViews>
  <sheetFormatPr baseColWidth="8" defaultRowHeight="15"/>
  <cols>
    <col width="14" customWidth="1" min="1" max="1"/>
    <col width="10" customWidth="1" min="2" max="2"/>
    <col width="36" customWidth="1" min="3" max="3"/>
    <col width="24" customWidth="1" min="4" max="4"/>
    <col width="12" customWidth="1" min="5" max="5"/>
    <col width="26" customWidth="1" min="6" max="6"/>
    <col width="12" customWidth="1" min="7" max="7"/>
    <col width="14" customWidth="1" min="8" max="8"/>
    <col width="32" customWidth="1" min="9" max="9"/>
    <col width="12" customWidth="1" min="10" max="10"/>
    <col width="28" customWidth="1" min="11" max="11"/>
  </cols>
  <sheetData>
    <row r="1" ht="28" customHeight="1">
      <c r="A1" s="1" t="inlineStr">
        <is>
          <t>Stats Breakdown</t>
        </is>
      </c>
    </row>
    <row r="2" ht="24" customHeight="1">
      <c r="A2" s="303">
        <f>HYPERLINK("https://raw.githubusercontent.com/vengeanceaiUSC/Syllabus-/cursor/add-syllabus-dissector-skill-a676/output/graduation-plan.xlsx","→ Download Graduation Plan (.xlsx) — standalone file")</f>
        <v/>
      </c>
    </row>
    <row r="3" ht="24" customHeight="1">
      <c r="A3" s="315">
        <f>HYPERLINK("https://raw.githubusercontent.com/vengeanceaiUSC/Syllabus-/cursor/add-syllabus-dissector-skill-a676/output/sources/stars-report.pdf","→ Download STARS Report (PDF) — degree requirements")</f>
        <v/>
      </c>
    </row>
    <row r="4" ht="24" customHeight="1">
      <c r="A4" s="303">
        <f>HYPERLINK("#'Graduation Plan'!A1","→ Open Graduation Plan tab (in this workbook)")</f>
        <v/>
      </c>
    </row>
    <row r="5">
      <c r="A5" s="13" t="inlineStr">
        <is>
          <t>Graduation Plan — full schedule through 128 units (also on Graduation Plan tab →)</t>
        </is>
      </c>
    </row>
    <row r="6">
      <c r="A6" s="322" t="inlineStr">
        <is>
          <t>Term</t>
        </is>
      </c>
      <c r="B6" s="322" t="inlineStr">
        <is>
          <t>Course</t>
        </is>
      </c>
      <c r="C6" s="322" t="inlineStr">
        <is>
          <t>Title</t>
        </is>
      </c>
      <c r="D6" s="322" t="inlineStr">
        <is>
          <t>Requirement</t>
        </is>
      </c>
      <c r="E6" s="322" t="inlineStr">
        <is>
          <t>Units</t>
        </is>
      </c>
      <c r="F6" s="322" t="inlineStr">
        <is>
          <t>Sem Total</t>
        </is>
      </c>
      <c r="G6" s="322" t="inlineStr">
        <is>
          <t>Cumulative</t>
        </is>
      </c>
      <c r="H6" s="322" t="inlineStr">
        <is>
          <t>Notes</t>
        </is>
      </c>
      <c r="I6" s="322" t="inlineStr">
        <is>
          <t>GE-D Consider</t>
        </is>
      </c>
    </row>
    <row r="7">
      <c r="A7" s="413" t="inlineStr">
        <is>
          <t>Prior Credit</t>
        </is>
      </c>
      <c r="B7" s="414" t="inlineStr"/>
      <c r="C7" s="300" t="inlineStr">
        <is>
          <t>Transfer / Prior USC Work</t>
        </is>
      </c>
      <c r="D7" s="414" t="inlineStr"/>
      <c r="E7" s="414" t="inlineStr"/>
      <c r="F7" s="414" t="inlineStr"/>
      <c r="G7" s="414" t="inlineStr">
        <is>
          <t>51.0</t>
        </is>
      </c>
      <c r="H7" s="300" t="inlineStr"/>
      <c r="I7" s="300" t="inlineStr"/>
    </row>
    <row r="8">
      <c r="A8" s="413" t="inlineStr">
        <is>
          <t>Fall 2026</t>
        </is>
      </c>
      <c r="B8" s="415">
        <f>HYPERLINK("#'BUAD-304'!A1","BUAD 304")</f>
        <v/>
      </c>
      <c r="C8" s="298" t="inlineStr">
        <is>
          <t>Organizational Behavior and Leadership</t>
        </is>
      </c>
      <c r="D8" s="416" t="inlineStr">
        <is>
          <t>Marshall Core</t>
        </is>
      </c>
      <c r="E8" s="416" t="inlineStr">
        <is>
          <t>4.0</t>
        </is>
      </c>
      <c r="F8" s="416" t="inlineStr">
        <is>
          <t>12.0</t>
        </is>
      </c>
      <c r="G8" s="416" t="inlineStr">
        <is>
          <t>63.0</t>
        </is>
      </c>
      <c r="H8" s="298" t="inlineStr">
        <is>
          <t>BUAD 281 moved to Spring 2027</t>
        </is>
      </c>
      <c r="I8" s="298" t="inlineStr"/>
    </row>
    <row r="9">
      <c r="A9" s="414" t="inlineStr"/>
      <c r="B9" s="417">
        <f>HYPERLINK("#'ECON-351'!A1","ECON 351")</f>
        <v/>
      </c>
      <c r="C9" s="300" t="inlineStr">
        <is>
          <t>Microeconomics for Business</t>
        </is>
      </c>
      <c r="D9" s="414" t="inlineStr">
        <is>
          <t>Economics / Marshall Core</t>
        </is>
      </c>
      <c r="E9" s="414" t="inlineStr">
        <is>
          <t>4.0</t>
        </is>
      </c>
      <c r="F9" s="414" t="inlineStr"/>
      <c r="G9" s="414" t="inlineStr"/>
      <c r="H9" s="300" t="inlineStr"/>
      <c r="I9" s="300" t="inlineStr"/>
    </row>
    <row r="10">
      <c r="A10" s="416" t="inlineStr"/>
      <c r="B10" s="416" t="inlineStr">
        <is>
          <t>REL 137</t>
        </is>
      </c>
      <c r="C10" s="298" t="inlineStr">
        <is>
          <t>Intro to Islam</t>
        </is>
      </c>
      <c r="D10" s="416" t="inlineStr">
        <is>
          <t>GE Category B (Humanistic Inquiry)</t>
        </is>
      </c>
      <c r="E10" s="416" t="inlineStr">
        <is>
          <t>4.0</t>
        </is>
      </c>
      <c r="F10" s="416" t="inlineStr"/>
      <c r="G10" s="416" t="inlineStr"/>
      <c r="H10" s="298" t="inlineStr">
        <is>
          <t>4 units — swapped from HIST 103</t>
        </is>
      </c>
      <c r="I10" s="298" t="inlineStr"/>
    </row>
    <row r="11">
      <c r="A11" s="413" t="inlineStr">
        <is>
          <t>Spring 2027</t>
        </is>
      </c>
      <c r="B11" s="417">
        <f>HYPERLINK("#'BUAD-281'!A1","BUAD 281")</f>
        <v/>
      </c>
      <c r="C11" s="300" t="inlineStr">
        <is>
          <t>Introduction to Managerial Accounting</t>
        </is>
      </c>
      <c r="D11" s="414" t="inlineStr">
        <is>
          <t>Accounting / Marshall Core</t>
        </is>
      </c>
      <c r="E11" s="414" t="inlineStr">
        <is>
          <t>3.0</t>
        </is>
      </c>
      <c r="F11" s="414" t="inlineStr">
        <is>
          <t>15.0</t>
        </is>
      </c>
      <c r="G11" s="414" t="inlineStr">
        <is>
          <t>78.0</t>
        </is>
      </c>
      <c r="H11" s="300" t="inlineStr">
        <is>
          <t>Marshall #1</t>
        </is>
      </c>
      <c r="I11" s="300" t="inlineStr"/>
    </row>
    <row r="12">
      <c r="A12" s="416" t="inlineStr"/>
      <c r="B12" s="416" t="inlineStr">
        <is>
          <t>BUAD 302</t>
        </is>
      </c>
      <c r="C12" s="298" t="inlineStr">
        <is>
          <t>Communication Strategy for Business</t>
        </is>
      </c>
      <c r="D12" s="416" t="inlineStr">
        <is>
          <t>Marshall Core</t>
        </is>
      </c>
      <c r="E12" s="416" t="inlineStr">
        <is>
          <t>4.0</t>
        </is>
      </c>
      <c r="F12" s="416" t="inlineStr"/>
      <c r="G12" s="416" t="inlineStr"/>
      <c r="H12" s="298" t="inlineStr">
        <is>
          <t>Marshall #2 (≤2 rule met)</t>
        </is>
      </c>
      <c r="I12" s="298" t="inlineStr"/>
    </row>
    <row r="13">
      <c r="A13" s="414" t="inlineStr"/>
      <c r="B13" s="417">
        <f>HYPERLINK("#'ANTH-202'!A1","ANTH 202")</f>
        <v/>
      </c>
      <c r="C13" s="300" t="inlineStr">
        <is>
          <t>Archaeology: Our Human Past</t>
        </is>
      </c>
      <c r="D13" s="414" t="inlineStr">
        <is>
          <t>GE Category C</t>
        </is>
      </c>
      <c r="E13" s="414" t="inlineStr">
        <is>
          <t>4.0</t>
        </is>
      </c>
      <c r="F13" s="414" t="inlineStr"/>
      <c r="G13" s="414" t="inlineStr"/>
      <c r="H13" s="300" t="inlineStr">
        <is>
          <t>Prof. Tracie Mayfield · RMP 4.6 quality / 2.1 difficulty · 82% would take again · avg grade A- (3.93 GPA) · open-book midterm/final (MC mostly from weekly quizzes) · final paper built via worksheets + peer review · reviews: prepares well for exams, generally lenient grader if you keep up</t>
        </is>
      </c>
      <c r="I13" s="300" t="inlineStr"/>
    </row>
    <row r="14">
      <c r="A14" s="416" t="inlineStr"/>
      <c r="B14" s="416" t="inlineStr">
        <is>
          <t>GE-D Course</t>
        </is>
      </c>
      <c r="C14" s="298" t="inlineStr">
        <is>
          <t>Approved Life Sciences Course</t>
        </is>
      </c>
      <c r="D14" s="416" t="inlineStr">
        <is>
          <t>GE Category D</t>
        </is>
      </c>
      <c r="E14" s="416" t="inlineStr">
        <is>
          <t>4.0</t>
        </is>
      </c>
      <c r="F14" s="416" t="inlineStr"/>
      <c r="G14" s="416" t="inlineStr"/>
      <c r="H14" s="298" t="inlineStr">
        <is>
          <t>Replaces Fall 2027 free elective slot</t>
        </is>
      </c>
      <c r="I14" s="298" t="inlineStr">
        <is>
          <t>HBIO-205 Science of Sport · Prof. Soultanakis (Fall sec 38411) · HBIO-210 Mediterranean Lifestyles · Prof. Soultanakis (Fall sec 38452) · RMP 2.8 quality / 2.8 difficulty · no papers · 2 MC midterms (drop lower) + MC final · memorize slides/study guides</t>
        </is>
      </c>
    </row>
    <row r="15">
      <c r="A15" s="413" t="inlineStr">
        <is>
          <t>Fall 2027</t>
        </is>
      </c>
      <c r="B15" s="414" t="inlineStr">
        <is>
          <t>BUAD 306</t>
        </is>
      </c>
      <c r="C15" s="300" t="inlineStr">
        <is>
          <t>Business Finance</t>
        </is>
      </c>
      <c r="D15" s="414" t="inlineStr">
        <is>
          <t>Marshall Core</t>
        </is>
      </c>
      <c r="E15" s="414" t="inlineStr">
        <is>
          <t>4.0</t>
        </is>
      </c>
      <c r="F15" s="414" t="inlineStr">
        <is>
          <t>12.0</t>
        </is>
      </c>
      <c r="G15" s="414" t="inlineStr">
        <is>
          <t>90.0</t>
        </is>
      </c>
      <c r="H15" s="300" t="inlineStr">
        <is>
          <t>WRIT 340 moved to Fall 2028</t>
        </is>
      </c>
      <c r="I15" s="300" t="inlineStr"/>
    </row>
    <row r="16">
      <c r="A16" s="416" t="inlineStr"/>
      <c r="B16" s="416" t="inlineStr">
        <is>
          <t>ECON 352</t>
        </is>
      </c>
      <c r="C16" s="298" t="inlineStr">
        <is>
          <t>Macroeconomics for Business</t>
        </is>
      </c>
      <c r="D16" s="416" t="inlineStr">
        <is>
          <t>Economics Requirement</t>
        </is>
      </c>
      <c r="E16" s="416" t="inlineStr">
        <is>
          <t>4.0</t>
        </is>
      </c>
      <c r="F16" s="416" t="inlineStr"/>
      <c r="G16" s="416" t="inlineStr"/>
      <c r="H16" s="298" t="inlineStr">
        <is>
          <t>Prereq ECON 351</t>
        </is>
      </c>
      <c r="I16" s="298" t="inlineStr"/>
    </row>
    <row r="17">
      <c r="A17" s="414" t="inlineStr"/>
      <c r="B17" s="414" t="inlineStr">
        <is>
          <t>Elective</t>
        </is>
      </c>
      <c r="C17" s="300" t="inlineStr">
        <is>
          <t>General Free Elective</t>
        </is>
      </c>
      <c r="D17" s="414" t="inlineStr">
        <is>
          <t>Degree Units</t>
        </is>
      </c>
      <c r="E17" s="414" t="inlineStr">
        <is>
          <t>4.0</t>
        </is>
      </c>
      <c r="F17" s="414" t="inlineStr"/>
      <c r="G17" s="414" t="inlineStr"/>
      <c r="H17" s="300" t="inlineStr">
        <is>
          <t>Moved from Fall 2028 to keep 12 units</t>
        </is>
      </c>
      <c r="I17" s="300" t="inlineStr"/>
    </row>
    <row r="18">
      <c r="A18" s="413" t="inlineStr">
        <is>
          <t>Spring 2028</t>
        </is>
      </c>
      <c r="B18" s="416" t="inlineStr">
        <is>
          <t>BUAD 310</t>
        </is>
      </c>
      <c r="C18" s="298" t="inlineStr">
        <is>
          <t>Applied Business Statistics</t>
        </is>
      </c>
      <c r="D18" s="416" t="inlineStr">
        <is>
          <t>Marshall Core</t>
        </is>
      </c>
      <c r="E18" s="416" t="inlineStr">
        <is>
          <t>4.0</t>
        </is>
      </c>
      <c r="F18" s="416" t="inlineStr">
        <is>
          <t>12.0</t>
        </is>
      </c>
      <c r="G18" s="416" t="inlineStr">
        <is>
          <t>102.0</t>
        </is>
      </c>
      <c r="H18" s="298" t="inlineStr"/>
      <c r="I18" s="298" t="inlineStr"/>
    </row>
    <row r="19">
      <c r="A19" s="414" t="inlineStr"/>
      <c r="B19" s="414" t="inlineStr">
        <is>
          <t>BUAD 311</t>
        </is>
      </c>
      <c r="C19" s="300" t="inlineStr">
        <is>
          <t>Operations Management</t>
        </is>
      </c>
      <c r="D19" s="414" t="inlineStr">
        <is>
          <t>Marshall Core</t>
        </is>
      </c>
      <c r="E19" s="414" t="inlineStr">
        <is>
          <t>4.0</t>
        </is>
      </c>
      <c r="F19" s="414" t="inlineStr"/>
      <c r="G19" s="414" t="inlineStr"/>
      <c r="H19" s="300" t="inlineStr">
        <is>
          <t>Preferred: Charlie Hannigan (14911 8am MW or 14913 9:30am MW) · RMP 4.7 / diff 2.7 · 2024 Golden Apple · easiest A odds on roster; avoid Takayama if possible (only open sections)</t>
        </is>
      </c>
      <c r="I19" s="300" t="inlineStr"/>
    </row>
    <row r="20">
      <c r="A20" s="416" t="inlineStr"/>
      <c r="B20" s="416" t="inlineStr">
        <is>
          <t>GE-E Course</t>
        </is>
      </c>
      <c r="C20" s="298" t="inlineStr">
        <is>
          <t>Approved Physical Sciences Course</t>
        </is>
      </c>
      <c r="D20" s="416" t="inlineStr">
        <is>
          <t>GE Category E</t>
        </is>
      </c>
      <c r="E20" s="416" t="inlineStr">
        <is>
          <t>4.0</t>
        </is>
      </c>
      <c r="F20" s="416" t="inlineStr"/>
      <c r="G20" s="416" t="inlineStr"/>
      <c r="H20" s="298" t="inlineStr"/>
      <c r="I20" s="298" t="inlineStr"/>
    </row>
    <row r="21">
      <c r="A21" s="413" t="inlineStr">
        <is>
          <t>Fall 2028</t>
        </is>
      </c>
      <c r="B21" s="414" t="inlineStr">
        <is>
          <t>BUAD 425</t>
        </is>
      </c>
      <c r="C21" s="300" t="inlineStr">
        <is>
          <t>Data Analysis for Decision Making</t>
        </is>
      </c>
      <c r="D21" s="414" t="inlineStr">
        <is>
          <t>Marshall Core</t>
        </is>
      </c>
      <c r="E21" s="414" t="inlineStr">
        <is>
          <t>2.0</t>
        </is>
      </c>
      <c r="F21" s="414" t="inlineStr">
        <is>
          <t>14.0</t>
        </is>
      </c>
      <c r="G21" s="414" t="inlineStr">
        <is>
          <t>116.0</t>
        </is>
      </c>
      <c r="H21" s="300" t="inlineStr"/>
      <c r="I21" s="300" t="inlineStr"/>
    </row>
    <row r="22">
      <c r="A22" s="416" t="inlineStr"/>
      <c r="B22" s="416" t="inlineStr">
        <is>
          <t>Elective</t>
        </is>
      </c>
      <c r="C22" s="298" t="inlineStr">
        <is>
          <t>Upper-Division Marshall Elective (1 of 3)</t>
        </is>
      </c>
      <c r="D22" s="416" t="inlineStr">
        <is>
          <t>Major Elective</t>
        </is>
      </c>
      <c r="E22" s="416" t="inlineStr">
        <is>
          <t>4.0</t>
        </is>
      </c>
      <c r="F22" s="416" t="inlineStr"/>
      <c r="G22" s="416" t="inlineStr"/>
      <c r="H22" s="298" t="inlineStr"/>
      <c r="I22" s="298" t="inlineStr"/>
    </row>
    <row r="23">
      <c r="A23" s="414" t="inlineStr"/>
      <c r="B23" s="414" t="inlineStr">
        <is>
          <t>Elective</t>
        </is>
      </c>
      <c r="C23" s="300" t="inlineStr">
        <is>
          <t>Upper-Division Marshall Elective (2 of 3)</t>
        </is>
      </c>
      <c r="D23" s="414" t="inlineStr">
        <is>
          <t>Major Elective</t>
        </is>
      </c>
      <c r="E23" s="414" t="inlineStr">
        <is>
          <t>4.0</t>
        </is>
      </c>
      <c r="F23" s="414" t="inlineStr"/>
      <c r="G23" s="414" t="inlineStr"/>
      <c r="H23" s="300" t="inlineStr"/>
      <c r="I23" s="300" t="inlineStr"/>
    </row>
    <row r="24">
      <c r="A24" s="416" t="inlineStr"/>
      <c r="B24" s="416" t="inlineStr">
        <is>
          <t>WRIT 340</t>
        </is>
      </c>
      <c r="C24" s="298" t="inlineStr">
        <is>
          <t>Advanced Writing</t>
        </is>
      </c>
      <c r="D24" s="416" t="inlineStr">
        <is>
          <t>Upper Division Writing</t>
        </is>
      </c>
      <c r="E24" s="416" t="inlineStr">
        <is>
          <t>4.0</t>
        </is>
      </c>
      <c r="F24" s="416" t="inlineStr"/>
      <c r="G24" s="416" t="inlineStr"/>
      <c r="H24" s="298" t="inlineStr">
        <is>
          <t>Moved from Fall 2027 — STARS: still needed</t>
        </is>
      </c>
      <c r="I24" s="298" t="inlineStr"/>
    </row>
    <row r="25">
      <c r="A25" s="413" t="inlineStr">
        <is>
          <t>Spring 2029</t>
        </is>
      </c>
      <c r="B25" s="414" t="inlineStr">
        <is>
          <t>BUAD 497</t>
        </is>
      </c>
      <c r="C25" s="300" t="inlineStr">
        <is>
          <t>Strategic Management</t>
        </is>
      </c>
      <c r="D25" s="414" t="inlineStr">
        <is>
          <t>Capstone Core</t>
        </is>
      </c>
      <c r="E25" s="414" t="inlineStr">
        <is>
          <t>4.0</t>
        </is>
      </c>
      <c r="F25" s="414" t="inlineStr">
        <is>
          <t>12.0</t>
        </is>
      </c>
      <c r="G25" s="414" t="inlineStr">
        <is>
          <t>128.0</t>
        </is>
      </c>
      <c r="H25" s="300" t="inlineStr"/>
      <c r="I25" s="300" t="inlineStr"/>
    </row>
    <row r="26">
      <c r="A26" s="416" t="inlineStr"/>
      <c r="B26" s="416" t="inlineStr">
        <is>
          <t>Elective</t>
        </is>
      </c>
      <c r="C26" s="298" t="inlineStr">
        <is>
          <t>Upper-Division Marshall Elective (3 of 3)</t>
        </is>
      </c>
      <c r="D26" s="416" t="inlineStr">
        <is>
          <t>Major Elective</t>
        </is>
      </c>
      <c r="E26" s="416" t="inlineStr">
        <is>
          <t>4.0</t>
        </is>
      </c>
      <c r="F26" s="416" t="inlineStr"/>
      <c r="G26" s="416" t="inlineStr"/>
      <c r="H26" s="298" t="inlineStr"/>
      <c r="I26" s="298" t="inlineStr"/>
    </row>
    <row r="27">
      <c r="A27" s="414" t="inlineStr"/>
      <c r="B27" s="414" t="inlineStr">
        <is>
          <t>Elective</t>
        </is>
      </c>
      <c r="C27" s="300" t="inlineStr">
        <is>
          <t>General Free Elective</t>
        </is>
      </c>
      <c r="D27" s="414" t="inlineStr">
        <is>
          <t>Degree Units</t>
        </is>
      </c>
      <c r="E27" s="414" t="inlineStr">
        <is>
          <t>4.0</t>
        </is>
      </c>
      <c r="F27" s="414" t="inlineStr"/>
      <c r="G27" s="414" t="inlineStr"/>
      <c r="H27" s="300" t="inlineStr"/>
      <c r="I27" s="300" t="inlineStr"/>
    </row>
    <row r="29">
      <c r="A29" s="2" t="inlineStr">
        <is>
          <t>Term: Fall 2026</t>
        </is>
      </c>
    </row>
    <row r="30">
      <c r="A30" s="3" t="inlineStr">
        <is>
          <t>Today: 2026-08-31</t>
        </is>
      </c>
    </row>
    <row r="31">
      <c r="A31" s="13" t="inlineStr">
        <is>
          <t>Professor Ratings (Rate My Professors) - click +/- at left to expand/collapse</t>
        </is>
      </c>
    </row>
    <row r="32" hidden="1" outlineLevel="1">
      <c r="A32" s="6" t="inlineStr">
        <is>
          <t>Class</t>
        </is>
      </c>
      <c r="B32" s="6" t="inlineStr">
        <is>
          <t>Instructor</t>
        </is>
      </c>
      <c r="C32" s="6" t="inlineStr">
        <is>
          <t>Quality (/5)</t>
        </is>
      </c>
      <c r="D32" s="6" t="inlineStr">
        <is>
          <t>Difficulty (/5)</t>
        </is>
      </c>
      <c r="E32" s="6" t="inlineStr">
        <is>
          <t>Avg Reviewer Grade</t>
        </is>
      </c>
      <c r="F32" s="6" t="inlineStr">
        <is>
          <t>Would Take Again</t>
        </is>
      </c>
      <c r="G32" s="6" t="inlineStr">
        <is>
          <t># Ratings</t>
        </is>
      </c>
    </row>
    <row r="33" hidden="1" outlineLevel="1">
      <c r="A33" s="7">
        <f>HYPERLINK("#'ANTH-202'!A1","ANTH-202")</f>
        <v/>
      </c>
      <c r="B33" s="88" t="inlineStr">
        <is>
          <t>Tracie Mayfield</t>
        </is>
      </c>
      <c r="C33" s="26" t="inlineStr">
        <is>
          <t>4.6</t>
        </is>
      </c>
      <c r="D33" s="8" t="inlineStr">
        <is>
          <t>2.1</t>
        </is>
      </c>
      <c r="E33" s="8" t="inlineStr">
        <is>
          <t>A- (3.93) [27/43 reported]</t>
        </is>
      </c>
      <c r="F33" s="8" t="inlineStr">
        <is>
          <t>81.8%</t>
        </is>
      </c>
      <c r="G33" s="8" t="inlineStr">
        <is>
          <t>43</t>
        </is>
      </c>
    </row>
    <row r="34" hidden="1" outlineLevel="1">
      <c r="A34" s="10">
        <f>HYPERLINK("#'BUAD-281'!A1","BUAD-281")</f>
        <v/>
      </c>
      <c r="B34" s="89" t="inlineStr">
        <is>
          <t>George Braunegg</t>
        </is>
      </c>
      <c r="C34" s="90" t="inlineStr">
        <is>
          <t>4.3</t>
        </is>
      </c>
      <c r="D34" s="11" t="inlineStr">
        <is>
          <t>3.3</t>
        </is>
      </c>
      <c r="E34" s="11" t="inlineStr">
        <is>
          <t>A- (3.69) [177/255 reported]</t>
        </is>
      </c>
      <c r="F34" s="11" t="inlineStr">
        <is>
          <t>80.9%</t>
        </is>
      </c>
      <c r="G34" s="11" t="inlineStr">
        <is>
          <t>255</t>
        </is>
      </c>
    </row>
    <row r="35" hidden="1" outlineLevel="1">
      <c r="A35" s="7">
        <f>HYPERLINK("#'BUAD-304'!A1","BUAD-304")</f>
        <v/>
      </c>
      <c r="B35" s="88" t="inlineStr">
        <is>
          <t>Christine El Haddad</t>
        </is>
      </c>
      <c r="C35" s="26" t="inlineStr">
        <is>
          <t>4.5</t>
        </is>
      </c>
      <c r="D35" s="8" t="inlineStr">
        <is>
          <t>2.7</t>
        </is>
      </c>
      <c r="E35" s="8" t="inlineStr">
        <is>
          <t>A- (3.71) [29/50 reported]</t>
        </is>
      </c>
      <c r="F35" s="8" t="inlineStr">
        <is>
          <t>78.9%</t>
        </is>
      </c>
      <c r="G35" s="8" t="inlineStr">
        <is>
          <t>50</t>
        </is>
      </c>
    </row>
    <row r="36" hidden="1" outlineLevel="1">
      <c r="A36" s="10">
        <f>HYPERLINK("#'ECON-351'!A1","ECON-351")</f>
        <v/>
      </c>
      <c r="B36" s="89" t="inlineStr">
        <is>
          <t>Alejandro Martínez-Marquina / João Ramos (RMP: Alejandro Martínez-Marquina)</t>
        </is>
      </c>
      <c r="C36" s="90" t="inlineStr">
        <is>
          <t>4.6</t>
        </is>
      </c>
      <c r="D36" s="11" t="inlineStr">
        <is>
          <t>3.1</t>
        </is>
      </c>
      <c r="E36" s="11" t="inlineStr">
        <is>
          <t>A- (3.76) [39/62 reported]</t>
        </is>
      </c>
      <c r="F36" s="11" t="inlineStr">
        <is>
          <t>85.2%</t>
        </is>
      </c>
      <c r="G36" s="11" t="inlineStr">
        <is>
          <t>62</t>
        </is>
      </c>
    </row>
    <row r="37" hidden="1" outlineLevel="1">
      <c r="A37" s="7">
        <f>HYPERLINK("#'HIST-103'!A1","HIST-103")</f>
        <v/>
      </c>
      <c r="B37" s="88" t="inlineStr">
        <is>
          <t>Lindsay O'Neill</t>
        </is>
      </c>
      <c r="C37" s="26" t="inlineStr">
        <is>
          <t>4.3</t>
        </is>
      </c>
      <c r="D37" s="8" t="inlineStr">
        <is>
          <t>2.5</t>
        </is>
      </c>
      <c r="E37" s="8" t="inlineStr">
        <is>
          <t>A- (3.77) [27/54 reported]</t>
        </is>
      </c>
      <c r="F37" s="8" t="inlineStr">
        <is>
          <t>79.3%</t>
        </is>
      </c>
      <c r="G37" s="8" t="inlineStr">
        <is>
          <t>54</t>
        </is>
      </c>
    </row>
    <row r="38" hidden="1" outlineLevel="1">
      <c r="A38" s="10">
        <f>HYPERLINK("#'JS-310'!A1","JS-310")</f>
        <v/>
      </c>
      <c r="B38" s="89" t="inlineStr">
        <is>
          <t>Andrzej Brylak / Yulia Dubasova (RMP: Andrzej Brylak)</t>
        </is>
      </c>
      <c r="C38" s="90" t="inlineStr">
        <is>
          <t>4.9</t>
        </is>
      </c>
      <c r="D38" s="11" t="inlineStr">
        <is>
          <t>1.6</t>
        </is>
      </c>
      <c r="E38" s="11" t="inlineStr">
        <is>
          <t>A+ (4) [11/12 reported]</t>
        </is>
      </c>
      <c r="F38" s="11" t="inlineStr">
        <is>
          <t>100%</t>
        </is>
      </c>
      <c r="G38" s="11" t="inlineStr">
        <is>
          <t>12</t>
        </is>
      </c>
    </row>
    <row r="39" hidden="1" outlineLevel="1">
      <c r="A39" s="7">
        <f>HYPERLINK("#'SPAN-290'!A1","SPAN-290")</f>
        <v/>
      </c>
      <c r="B39" s="88" t="inlineStr">
        <is>
          <t>Samuel Steinberg</t>
        </is>
      </c>
      <c r="C39" s="26" t="inlineStr">
        <is>
          <t>4.5</t>
        </is>
      </c>
      <c r="D39" s="8" t="inlineStr">
        <is>
          <t>2.2</t>
        </is>
      </c>
      <c r="E39" s="8" t="inlineStr">
        <is>
          <t>A- (3.74) [5/5 reported]</t>
        </is>
      </c>
      <c r="F39" s="8" t="inlineStr">
        <is>
          <t>100%</t>
        </is>
      </c>
      <c r="G39" s="8" t="inlineStr">
        <is>
          <t>5</t>
        </is>
      </c>
    </row>
    <row r="40" hidden="1" outlineLevel="1"/>
    <row r="41" hidden="1" outlineLevel="1">
      <c r="A41" s="13" t="inlineStr">
        <is>
          <t>Consensus - recurring student review themes</t>
        </is>
      </c>
    </row>
    <row r="42" hidden="1" outlineLevel="1" ht="180" customHeight="1">
      <c r="A42" s="104" t="inlineStr">
        <is>
          <t>ANTH-202</t>
        </is>
      </c>
      <c r="B42" s="105" t="inlineStr">
        <is>
          <t>Tracie Mayfield</t>
        </is>
      </c>
      <c r="C42" s="8" t="inlineStr">
        <is>
          <t>STRENGTHS: Strong RMP profile (4.6 quality, 2.1 difficulty, 82% would take again). Students call Dr. Mayfield caring, accessible, and clear about expectations. Self-reported grades skew heavily A/A+ (avg ~3.93 GPA). Weekly quizzes have unlimited retakes (lowest 3 dropped); exams are open-book/notes and reviewers say she prepares them well — MC/TF largely mirrors quizzes.
MIDTERM &amp; EXAMS: Syllabus states most MC questions come straight from weekly quizzes; open notes/materials allowed. Reviews: 'prepares everyone for the final paper and online exams,' 'prepared us SO WELL for the exams,' 'open notes and super doable if you take notes on lectures/labs.' Caveat: Jan 2026 review warns exams still require knowing content despite open-book format.
PAPERS &amp; GRADING: Final paper (29%) is scaffolded via research-design worksheets + peer review; instructor gives section feedback if submitted early. Most reviews describe lenient/fair grading ('grades leniently,' 'easy on grading,' 'clear grading rubric'); a few recent outliers tag 'Tough grader' or 'harsh grader.' Workload is real — heavy reading, lab attendance, structured final paper.
BOTTOM LINE: Solid GE-C pick for an A if you do weekly quizzes (exam prep), attend labs, and start the paper early. Not a zero-effort class despite generous structure.</t>
        </is>
      </c>
    </row>
    <row r="43" hidden="1" outlineLevel="1" ht="135" customHeight="1">
      <c r="A43" s="106" t="inlineStr">
        <is>
          <t>BUAD-281</t>
        </is>
      </c>
      <c r="B43" s="107" t="inlineStr">
        <is>
          <t>George Braunegg</t>
        </is>
      </c>
      <c r="C43" s="11" t="inlineStr">
        <is>
          <t>STRENGTHS: Very high marks for personality and support — students call Prof. Braunegg kind, funny, caring, and responsive by email. Daily accounting facts/jokes are a recurring positive. Many praise his career advice and willingness to help outside class; several credit him with influencing their major choice.
TEACHING &amp; EXAMS: More divided on in-class instruction — some say he struggles to work through problems live or that lectures don't always align with exams. Course draws on Prof. Layton's materials but sections may not match perfectly. Textbook gets criticism.
BOTTOM LINE: Strong human connection and mentorship; be prepared to self-study or use tutors if lecture pace doesn't click. High would-take-again despite polarized exam/lecture comments.</t>
        </is>
      </c>
    </row>
    <row r="44" hidden="1" outlineLevel="1" ht="135" customHeight="1">
      <c r="A44" s="104" t="inlineStr">
        <is>
          <t>BUAD-304</t>
        </is>
      </c>
      <c r="B44" s="105" t="inlineStr">
        <is>
          <t>Christine El Haddad</t>
        </is>
      </c>
      <c r="C44" s="8" t="inlineStr">
        <is>
          <t>STRENGTHS: Among the most praised Marshall professors on RMP — repeatedly called the 'best' or 'sweetest' instructor students have had. Negotiation and OB classes get standout reviews: supportive classroom culture, clear and organized Brightspace, strong lectures, and generous extra credit. Weekly in-class negotiations are a highlight for many.
WORKLOAD: Group projects and class participation carry real weight; some find readings or lecture content repetitive. A few note group work can feel heavy even when the professor is beloved.
BOTTOM LINE: Take her if you can — especially for negotiation-heavy offerings. Show up, participate, and lean into the structured group work; exams reward attentive note-taking on lecture and slide content.</t>
        </is>
      </c>
    </row>
    <row r="45" hidden="1" outlineLevel="1" ht="165" customHeight="1">
      <c r="A45" s="106" t="inlineStr">
        <is>
          <t>ECON-351</t>
        </is>
      </c>
      <c r="B45" s="107" t="inlineStr">
        <is>
          <t>Alejandro Martínez-Marquina / João Ramos (RMP: Alejandro Martínez-Marquina)</t>
        </is>
      </c>
      <c r="C45" s="11" t="inlineStr">
        <is>
          <t>STRENGTHS: Reviewers repeatedly praise board work, step-by-step problem breakdowns, and practice sets that mirror exams. Many call him kind, funny, and responsive by email; office hours and TAs get strong mentions. Several note you can succeed without mandatory attendance if you self-study from the textbook.
COMMON CAVEATS: Spanish accent and fast lecture pace come up often — sit near the front. Some say lectures/textbook do not fully prepare you unless you drill mock exams and homework. Content volume is high; procrastination hurts.
EXAMS &amp; GRADING: Midterms align with practice problems and mock exams; homework is described as easy/lenient (best-of policy). Grades span A to C- depending on effort. AI/group project mentioned as straightforward when you keep up.
BOTTOM LINE: Do the practice sets, use TAs/office hours, and do not fall behind — accent and pace are manageable with front-row seating and self-study.</t>
        </is>
      </c>
    </row>
    <row r="46" hidden="1" outlineLevel="1" ht="135" customHeight="1">
      <c r="A46" s="104" t="inlineStr">
        <is>
          <t>HIST-103</t>
        </is>
      </c>
      <c r="B46" s="105" t="inlineStr">
        <is>
          <t>Lindsay O'Neill</t>
        </is>
      </c>
      <c r="C46" s="8" t="inlineStr">
        <is>
          <t>STRENGTHS: Students consistently describe Dr. O'Neill as passionate and engaging — lectures use multimedia (Monty Python clips, movie trailers, humor) that make a GE history class feel lively rather than dry. Many say the content is genuinely interesting if you show up and pay attention.
GRADING &amp; WORKLOAD: Mixed reviews on grading — several note she can be a harsh essay grader and that strong discussion participation matters. Expect substantial section readings; essays benefit from office-hours or TA help. Low-weight pop quizzes (~5% total) sometimes used to track attendance.
BOTTOM LINE: Solid pick for students who engage in class and discussion; less ideal if you want a low-effort GE or struggle with writing-heavy assessments.</t>
        </is>
      </c>
    </row>
    <row r="47" hidden="1" outlineLevel="1" ht="165" customHeight="1">
      <c r="A47" s="106" t="inlineStr">
        <is>
          <t>JS-310</t>
        </is>
      </c>
      <c r="B47" s="107" t="inlineStr">
        <is>
          <t>Andrzej Brylak / Yulia Dubasova (RMP: Andrzej Brylak)</t>
        </is>
      </c>
      <c r="C47" s="11" t="inlineStr">
        <is>
          <t>STRENGTHS: Very strong RMP profile (4.9 quality, 1.6 difficulty, 100% would take again). Students call Brylak passionate, hilarious, knowledgeable, and caring — one of the best GE picks at USC. Several reviews are explicitly for SLL/JS 310.\n\nWORKLOAD: Heavy reading (~75–100 pp/week per reviews). Weekly reading quizzes (10 questions) are described as easy if you attend lecture; midterm/final quizzes plus two oral presentations (quote analysis + thematic comparison across 3 readings). Physical book required in class; no laptops except for quizzes.\n\nCAVEATS: Oral exams graded on public-speaking standards with follow-up questions. Assignment instructions sometimes vague (older reviews mention papers; current syllabus uses oral exams). Strict attendance — 2 unexcused absences risks failure.\n\nBOTTOM LINE: Engaging instructor and manageable grading if you do the reading and show up; not a phone/laptop class.</t>
        </is>
      </c>
    </row>
    <row r="48" hidden="1" outlineLevel="1" ht="120" customHeight="1">
      <c r="A48" s="104" t="inlineStr">
        <is>
          <t>SPAN-290</t>
        </is>
      </c>
      <c r="B48" s="105" t="inlineStr">
        <is>
          <t>Samuel Steinberg</t>
        </is>
      </c>
      <c r="C48" s="8" t="inlineStr">
        <is>
          <t>STRENGTHS: Small sample but uniformly positive — 4.5 quality, 2.2 difficulty, 100% would take again. Students describe Prof. Steinberg as passionate, knowledgeable, and fair; essays and reading notes reward engagement with the material.\n\nWORKLOAD: Reading-heavy with regular reading notes plus two essays and two in-class exams (500-point scale). Provisional schedule packs film screenings and primary sources; BrightSpace distributes readings.\n\nBOTTOM LINE: Strong pick for Latin American/Iberian cultural studies if you keep up with readings and take essays seriously. AI use is prohibited — all written work must be your own.</t>
        </is>
      </c>
    </row>
    <row r="49" hidden="1" outlineLevel="1"/>
    <row r="50" hidden="1" outlineLevel="1">
      <c r="A50" s="13" t="inlineStr">
        <is>
          <t>Student reviews (Rate My Professors) - newest first</t>
        </is>
      </c>
    </row>
    <row r="51" hidden="1" outlineLevel="1">
      <c r="A51" s="6" t="inlineStr">
        <is>
          <t>Class</t>
        </is>
      </c>
      <c r="B51" s="6" t="inlineStr">
        <is>
          <t>Date</t>
        </is>
      </c>
      <c r="C51" s="6" t="inlineStr">
        <is>
          <t>Grade</t>
        </is>
      </c>
      <c r="D51" s="6" t="inlineStr">
        <is>
          <t>Q/D</t>
        </is>
      </c>
      <c r="E51" s="6" t="inlineStr">
        <is>
          <t>Review</t>
        </is>
      </c>
    </row>
    <row r="52" hidden="1" outlineLevel="1" ht="75" customHeight="1">
      <c r="A52" s="104" t="inlineStr">
        <is>
          <t>ANTH-202</t>
        </is>
      </c>
      <c r="B52" s="105" t="inlineStr">
        <is>
          <t>2026-06-04</t>
        </is>
      </c>
      <c r="C52" s="105" t="inlineStr">
        <is>
          <t>A+</t>
        </is>
      </c>
      <c r="D52" s="105" t="inlineStr">
        <is>
          <t>5/2</t>
        </is>
      </c>
      <c r="E52" s="8" t="inlineStr">
        <is>
          <t>I love Dr. Mayfield! She is so easy to talk to and genuinely wants students to do well. Stay on track with the assignments, and ask her for help whenever you need it. I also took ANTH 343 with her, and really enjoyed it! If she taught another class, I would take that one too. Get in her class if you can, you won't regret it!!! [Gives good feedback, Hilarious, Caring]</t>
        </is>
      </c>
    </row>
    <row r="53" hidden="1" outlineLevel="1" ht="75" customHeight="1">
      <c r="A53" s="107" t="inlineStr"/>
      <c r="B53" s="107" t="inlineStr">
        <is>
          <t>2026-05-29</t>
        </is>
      </c>
      <c r="C53" s="107" t="inlineStr">
        <is>
          <t>A</t>
        </is>
      </c>
      <c r="D53" s="107" t="inlineStr">
        <is>
          <t>5/2</t>
        </is>
      </c>
      <c r="E53" s="11" t="inlineStr">
        <is>
          <t>Quite a chill and fair class. Your grade is basically two exams (which are both easy if you keep up with the readings and films) and an essay (which is spread out over several weeks and the topic is your choice). Overall, a laid-back class and an easy A if you put in the effort. [Participation matters, Gives good feedback, Respected]</t>
        </is>
      </c>
    </row>
    <row r="54" hidden="1" outlineLevel="1" ht="45" customHeight="1">
      <c r="A54" s="105" t="inlineStr"/>
      <c r="B54" s="105" t="inlineStr">
        <is>
          <t>2026-05-28</t>
        </is>
      </c>
      <c r="C54" s="105" t="inlineStr">
        <is>
          <t>A</t>
        </is>
      </c>
      <c r="D54" s="105" t="inlineStr">
        <is>
          <t>5/1</t>
        </is>
      </c>
      <c r="E54" s="8" t="inlineStr">
        <is>
          <t>Easy A if you are willing to put into effort. She replied to my emails very quickly. Exams were online and not cumulative. Overall, this is a manageable GE. Definitely recommend! [EXTRA CREDIT, Respected, Accessible outside class]</t>
        </is>
      </c>
    </row>
    <row r="55" hidden="1" outlineLevel="1" ht="30" customHeight="1">
      <c r="A55" s="107" t="inlineStr"/>
      <c r="B55" s="107" t="inlineStr">
        <is>
          <t>2026-05-27</t>
        </is>
      </c>
      <c r="C55" s="107" t="inlineStr">
        <is>
          <t>A</t>
        </is>
      </c>
      <c r="D55" s="107" t="inlineStr">
        <is>
          <t>5/2</t>
        </is>
      </c>
      <c r="E55" s="11" t="inlineStr">
        <is>
          <t>love her. so passionate and an easy GE.</t>
        </is>
      </c>
    </row>
    <row r="56" hidden="1" outlineLevel="1" ht="45" customHeight="1">
      <c r="A56" s="105" t="inlineStr"/>
      <c r="B56" s="105" t="inlineStr">
        <is>
          <t>2026-02-06</t>
        </is>
      </c>
      <c r="C56" s="105" t="inlineStr">
        <is>
          <t>Rather not say</t>
        </is>
      </c>
      <c r="D56" s="105" t="inlineStr">
        <is>
          <t>2/5</t>
        </is>
      </c>
      <c r="E56" s="8" t="inlineStr">
        <is>
          <t>Not considerate or reasonable. Haphazard assignments, bad communication, and overall not worth your time or effort. Very hard and not even engaging. [Tough grader, Get ready to read, Participation matters]</t>
        </is>
      </c>
    </row>
    <row r="57" hidden="1" outlineLevel="1" ht="60" customHeight="1">
      <c r="A57" s="107" t="inlineStr"/>
      <c r="B57" s="107" t="inlineStr">
        <is>
          <t>2026-02-03</t>
        </is>
      </c>
      <c r="C57" s="107" t="inlineStr">
        <is>
          <t>-</t>
        </is>
      </c>
      <c r="D57" s="107" t="inlineStr">
        <is>
          <t>1/5</t>
        </is>
      </c>
      <c r="E57" s="11" t="inlineStr">
        <is>
          <t>Disrespectful, rude, overly demanding/harsh grader. Fail's to prepare enough material for the lectures. Lots of youtube videos and harsh grading. Overall lackluster in terms of being anything worthy of your time or interest. Take something else! [Tough grader, Lots of homework]</t>
        </is>
      </c>
    </row>
    <row r="58" hidden="1" outlineLevel="1" ht="75" customHeight="1">
      <c r="A58" s="105" t="inlineStr"/>
      <c r="B58" s="105" t="inlineStr">
        <is>
          <t>2026-01-09</t>
        </is>
      </c>
      <c r="C58" s="105" t="inlineStr">
        <is>
          <t>A</t>
        </is>
      </c>
      <c r="D58" s="105" t="inlineStr">
        <is>
          <t>5/4</t>
        </is>
      </c>
      <c r="E58" s="8" t="inlineStr">
        <is>
          <t>She is so sweet and an amazing prof however do not take this class for an easy A. previous reviews made this class seem very easy and its not. you really have to put the work in. Yes you take your tests at home and they are open note but you really have to know your stuff to succeed. they are not easy. a lot of reading and content to know! [Get ready to read, Participation matters, Test heavy]</t>
        </is>
      </c>
    </row>
    <row r="59" hidden="1" outlineLevel="1" ht="75" customHeight="1">
      <c r="A59" s="107" t="inlineStr"/>
      <c r="B59" s="107" t="inlineStr">
        <is>
          <t>2025-12-25</t>
        </is>
      </c>
      <c r="C59" s="107" t="inlineStr">
        <is>
          <t>A</t>
        </is>
      </c>
      <c r="D59" s="107" t="inlineStr">
        <is>
          <t>4/4</t>
        </is>
      </c>
      <c r="E59" s="11" t="inlineStr">
        <is>
          <t>The only reason I rated it as more difficult is because you really do have to put in the work for the class. Others made it sound very easy, but it is not, and she was clear about that from day one. You have weekly at-home quizzes, lots of reading and videos, and attendance is graded! It was a great class but don't expect an easy A. [Get ready to read, Participation matters, Respected]</t>
        </is>
      </c>
    </row>
    <row r="60" hidden="1" outlineLevel="1" ht="90" customHeight="1">
      <c r="A60" s="105" t="inlineStr"/>
      <c r="B60" s="105" t="inlineStr">
        <is>
          <t>2025-06-01</t>
        </is>
      </c>
      <c r="C60" s="105" t="inlineStr">
        <is>
          <t>A</t>
        </is>
      </c>
      <c r="D60" s="105" t="inlineStr">
        <is>
          <t>4/3</t>
        </is>
      </c>
      <c r="E60" s="8" t="inlineStr">
        <is>
          <t>It is overall not hard to do well in the class. Go to the labs and do all the assigned readings. Professor Mayfield does her best to prepare everyone for the final paper and online exams. She was also very quick to respond to emails and very accessible. With quite a bit to read every week, the difficulty can vary depending on interest in topic. [Get ready to read, EXTRA CREDIT, Accessible outside class]</t>
        </is>
      </c>
    </row>
    <row r="61" hidden="1" outlineLevel="1" ht="90" customHeight="1">
      <c r="A61" s="107" t="inlineStr"/>
      <c r="B61" s="107" t="inlineStr">
        <is>
          <t>2025-05-17</t>
        </is>
      </c>
      <c r="C61" s="107" t="inlineStr">
        <is>
          <t>Not sure yet</t>
        </is>
      </c>
      <c r="D61" s="107" t="inlineStr">
        <is>
          <t>3/4</t>
        </is>
      </c>
      <c r="E61" s="11" t="inlineStr">
        <is>
          <t>Overall, Tracie Mayfield is a great professor. If you show up to classes and keep up with the syllabus, you'll probably do fine. However, the class has an insane amount of reading, for frankly a topic that isn't really interesting. Try and get a good lecture time because you have to show up. There's prob better choices but 202 isn't horrible. [Tough grader, Get ready to read, Clear grading criteria]</t>
        </is>
      </c>
    </row>
    <row r="62" hidden="1" outlineLevel="1" ht="60" customHeight="1">
      <c r="A62" s="105" t="inlineStr"/>
      <c r="B62" s="105" t="inlineStr">
        <is>
          <t>2025-04-29</t>
        </is>
      </c>
      <c r="C62" s="105" t="inlineStr">
        <is>
          <t>A</t>
        </is>
      </c>
      <c r="D62" s="105" t="inlineStr">
        <is>
          <t>5/1</t>
        </is>
      </c>
      <c r="E62" s="8" t="inlineStr">
        <is>
          <t>If you are looking to take an easy GE, this is by far the best choice. Half the lectures are online and you only have to show up to less than half the lectures. Professor Mayfield is super chill and funny and you will get an A if you complete the course requirements [EXTRA CREDIT, Clear grading criteria]</t>
        </is>
      </c>
    </row>
    <row r="63" hidden="1" outlineLevel="1" ht="60" customHeight="1">
      <c r="A63" s="107" t="inlineStr"/>
      <c r="B63" s="107" t="inlineStr">
        <is>
          <t>2024-12-27</t>
        </is>
      </c>
      <c r="C63" s="107" t="inlineStr">
        <is>
          <t>A</t>
        </is>
      </c>
      <c r="D63" s="107" t="inlineStr">
        <is>
          <t>5/1</t>
        </is>
      </c>
      <c r="E63" s="11" t="inlineStr">
        <is>
          <t>BEST GE AT USC. All you need is a pulse to get an A. You learn a TON and only need to go to a 50 minute discussion per week. Just follow her directions and you can get a perfect score on everything. [EXTRA CREDIT, Clear grading criteria, Accessible outside class]</t>
        </is>
      </c>
    </row>
    <row r="64" hidden="1" outlineLevel="1" ht="75" customHeight="1">
      <c r="A64" s="105" t="inlineStr"/>
      <c r="B64" s="105" t="inlineStr">
        <is>
          <t>2024-12-18</t>
        </is>
      </c>
      <c r="C64" s="105" t="inlineStr">
        <is>
          <t>A</t>
        </is>
      </c>
      <c r="D64" s="105" t="inlineStr">
        <is>
          <t>5/1</t>
        </is>
      </c>
      <c r="E64" s="8" t="inlineStr">
        <is>
          <t>My only complaint is I wish I could have had more class time with Dr. Mayfield! She uses a flipped classroom model where she lectures during discussion (but not every week) and lecture time is like work time. This wasn't the best for me since I enjoy lecture and don't learn as well independently but overall loved the class! She is so caring! [EXTRA CREDIT, Clear grading criteria, Caring]</t>
        </is>
      </c>
    </row>
    <row r="65" hidden="1" outlineLevel="1" ht="30" customHeight="1">
      <c r="A65" s="107" t="inlineStr"/>
      <c r="B65" s="107" t="inlineStr">
        <is>
          <t>2024-12-14</t>
        </is>
      </c>
      <c r="C65" s="107" t="inlineStr">
        <is>
          <t>-</t>
        </is>
      </c>
      <c r="D65" s="107" t="inlineStr">
        <is>
          <t>5/1</t>
        </is>
      </c>
      <c r="E65" s="11" t="inlineStr">
        <is>
          <t>She's so nice and funny one of the best professors for sure</t>
        </is>
      </c>
    </row>
    <row r="66" hidden="1" outlineLevel="1" ht="75" customHeight="1">
      <c r="A66" s="105" t="inlineStr"/>
      <c r="B66" s="105" t="inlineStr">
        <is>
          <t>2024-12-11</t>
        </is>
      </c>
      <c r="C66" s="105" t="inlineStr">
        <is>
          <t>A</t>
        </is>
      </c>
      <c r="D66" s="105" t="inlineStr">
        <is>
          <t>5/2</t>
        </is>
      </c>
      <c r="E66" s="8" t="inlineStr">
        <is>
          <t>Amazing teacher! Took her for GESM-130. Very passionate about what she teaches. She assigns a midterm, final exam and final project in which she grades leniantly. Attendance isn't mandatory but starts taking points off after 5 absences. Answers emails really well even at 3 AM she will answer your emails. Overall fun, enjoyable easy A. [EXTRA CREDIT, Clear grading criteria, Gives good feedback]</t>
        </is>
      </c>
    </row>
    <row r="67" hidden="1" outlineLevel="1" ht="45" customHeight="1">
      <c r="A67" s="107" t="inlineStr"/>
      <c r="B67" s="107" t="inlineStr">
        <is>
          <t>2024-12-07</t>
        </is>
      </c>
      <c r="C67" s="107" t="inlineStr">
        <is>
          <t>Not sure yet</t>
        </is>
      </c>
      <c r="D67" s="107" t="inlineStr">
        <is>
          <t>5/3</t>
        </is>
      </c>
      <c r="E67" s="11" t="inlineStr">
        <is>
          <t>Great lectures, great person, clear grading rubric and well-defined expectations from class. Would love to take her again! [Get ready to read, EXTRA CREDIT, Clear grading criteria]</t>
        </is>
      </c>
    </row>
    <row r="68" hidden="1" outlineLevel="1" ht="30" customHeight="1">
      <c r="A68" s="105" t="inlineStr"/>
      <c r="B68" s="105" t="inlineStr">
        <is>
          <t>2024-04-24</t>
        </is>
      </c>
      <c r="C68" s="105" t="inlineStr">
        <is>
          <t>B</t>
        </is>
      </c>
      <c r="D68" s="105" t="inlineStr">
        <is>
          <t>2/2</t>
        </is>
      </c>
      <c r="E68" s="8" t="inlineStr">
        <is>
          <t>Not helpful when I need assistance and dismissive</t>
        </is>
      </c>
    </row>
    <row r="69" hidden="1" outlineLevel="1" ht="75" customHeight="1">
      <c r="A69" s="107" t="inlineStr"/>
      <c r="B69" s="107" t="inlineStr">
        <is>
          <t>2023-12-16</t>
        </is>
      </c>
      <c r="C69" s="107" t="inlineStr">
        <is>
          <t>A+</t>
        </is>
      </c>
      <c r="D69" s="107" t="inlineStr">
        <is>
          <t>5/2</t>
        </is>
      </c>
      <c r="E69" s="11" t="inlineStr">
        <is>
          <t>The best GE C you could take. You do have to watch the online lectures and attend the lab sections, but that's all. The midterm and final are open notes, book, google, everything, and are super doable if you take notes on the online lectures and the lab sections' classes. One 7-8 page double spaced paper due in the final week of classes. [EXTRA CREDIT, Caring, Lecture heavy]</t>
        </is>
      </c>
    </row>
    <row r="70" hidden="1" outlineLevel="1" ht="90" customHeight="1">
      <c r="A70" s="105" t="inlineStr"/>
      <c r="B70" s="105" t="inlineStr">
        <is>
          <t>2023-06-30</t>
        </is>
      </c>
      <c r="C70" s="105" t="inlineStr">
        <is>
          <t>A-</t>
        </is>
      </c>
      <c r="D70" s="105" t="inlineStr">
        <is>
          <t>5/2</t>
        </is>
      </c>
      <c r="E70" s="8" t="inlineStr">
        <is>
          <t>Prof Mayfield was amazing. She is so kind, funny, caring, and informative. The class teaches you how to manage your time with the flipped classroom model, but it's manageable once you get a schedule going for yourself. Once a week, mandatory discussions, with the rest being readings and recordings. Definitely easy, but take it for Prof Mayfield! [Participation matters, Caring, Accessible outside class]</t>
        </is>
      </c>
    </row>
    <row r="71" hidden="1" outlineLevel="1" ht="75" customHeight="1">
      <c r="A71" s="107" t="inlineStr"/>
      <c r="B71" s="107" t="inlineStr">
        <is>
          <t>2023-05-09</t>
        </is>
      </c>
      <c r="C71" s="107" t="inlineStr">
        <is>
          <t>A</t>
        </is>
      </c>
      <c r="D71" s="107" t="inlineStr">
        <is>
          <t>5/2</t>
        </is>
      </c>
      <c r="E71" s="11" t="inlineStr">
        <is>
          <t>So grateful I took this class for my GE! Best choice I could've made. Just show up to lab sections and you'll be fine. Professor Mayfield is so caring and attentive to her students, the nicest and most knowledgeable teacher I've had this year. She makes tough concepts easy. Take her!! [Clear grading criteria, Gives good feedback, Caring]</t>
        </is>
      </c>
    </row>
    <row r="72" hidden="1" outlineLevel="1" ht="60" customHeight="1">
      <c r="A72" s="105" t="inlineStr"/>
      <c r="B72" s="105" t="inlineStr">
        <is>
          <t>2023-01-08</t>
        </is>
      </c>
      <c r="C72" s="105" t="inlineStr">
        <is>
          <t>A</t>
        </is>
      </c>
      <c r="D72" s="105" t="inlineStr">
        <is>
          <t>5/2</t>
        </is>
      </c>
      <c r="E72" s="8" t="inlineStr">
        <is>
          <t>Amazing professor! Take. This. Class. Easy A, thoughtful professor, the material is explained very well, and there's one paper you work on throughout the semester (can be as easy as the history of soccer or the history of ice cream). [EXTRA CREDIT, Hilarious, Caring]</t>
        </is>
      </c>
    </row>
    <row r="73" hidden="1" outlineLevel="1" ht="75" customHeight="1">
      <c r="A73" s="107" t="inlineStr"/>
      <c r="B73" s="107" t="inlineStr">
        <is>
          <t>2023-01-03</t>
        </is>
      </c>
      <c r="C73" s="107" t="inlineStr">
        <is>
          <t>A</t>
        </is>
      </c>
      <c r="D73" s="107" t="inlineStr">
        <is>
          <t>5/1</t>
        </is>
      </c>
      <c r="E73" s="11" t="inlineStr">
        <is>
          <t>Literally the nicest human I've ever met. She led my ANTH 201 discussion section, and she was always willing to help us with our essays and other questions. She cares a lot about her students. She prepared us SO WELL for the exams (which are online &amp; open-note). She constantly sends out reminders to help students stay organized and updated. [Hilarious, Caring]</t>
        </is>
      </c>
    </row>
    <row r="74" hidden="1" outlineLevel="1" ht="60" customHeight="1">
      <c r="A74" s="105" t="inlineStr"/>
      <c r="B74" s="105" t="inlineStr">
        <is>
          <t>2022-12-09</t>
        </is>
      </c>
      <c r="C74" s="105" t="inlineStr">
        <is>
          <t>Not sure yet</t>
        </is>
      </c>
      <c r="D74" s="105" t="inlineStr">
        <is>
          <t>5/2</t>
        </is>
      </c>
      <c r="E74" s="8" t="inlineStr">
        <is>
          <t>Amazing professor! Just a great person overall, she is so understandable and flexible. She is so passionate about her studies that it makes you want to excel at all. Do not hesitate to take a Dr. Mayfield course, that is if you are lucky enough to get a spot!</t>
        </is>
      </c>
    </row>
    <row r="75" hidden="1" outlineLevel="1" ht="60" customHeight="1">
      <c r="A75" s="107" t="inlineStr"/>
      <c r="B75" s="107" t="inlineStr">
        <is>
          <t>2021-12-24</t>
        </is>
      </c>
      <c r="C75" s="107" t="inlineStr">
        <is>
          <t>A</t>
        </is>
      </c>
      <c r="D75" s="107" t="inlineStr">
        <is>
          <t>5/1</t>
        </is>
      </c>
      <c r="E75" s="11" t="inlineStr">
        <is>
          <t>Professor Mayfield is a saint. By far the best professor I've had at USC. Super understanding and flexible with her students but also really knowledgable about the class topics. Taking her class really eased my schedule and allowed me to not get overwhelmed by my others. If you get the chance TAKE ONE OF HER CLASSES.</t>
        </is>
      </c>
    </row>
    <row r="76" hidden="1" outlineLevel="1" ht="75" customHeight="1">
      <c r="A76" s="105" t="inlineStr"/>
      <c r="B76" s="105" t="inlineStr">
        <is>
          <t>2021-12-23</t>
        </is>
      </c>
      <c r="C76" s="105" t="inlineStr">
        <is>
          <t>Not sure yet</t>
        </is>
      </c>
      <c r="D76" s="105" t="inlineStr">
        <is>
          <t>5/1</t>
        </is>
      </c>
      <c r="E76" s="8" t="inlineStr">
        <is>
          <t>I really loved her class! Despite being on zoom it was stress free and I genuinely learned a lot! Multiple choice midterm was slightly challenging but that was the only hard thing we did. Weekly quizzes that we could take over and over until we got 100% were dope. She is inspirational and knowledgeable [Respected, Inspirational]</t>
        </is>
      </c>
    </row>
    <row r="77" hidden="1" outlineLevel="1" ht="45" customHeight="1">
      <c r="A77" s="107" t="inlineStr"/>
      <c r="B77" s="107" t="inlineStr">
        <is>
          <t>2021-12-11</t>
        </is>
      </c>
      <c r="C77" s="107" t="inlineStr">
        <is>
          <t>Not sure yet</t>
        </is>
      </c>
      <c r="D77" s="107" t="inlineStr">
        <is>
          <t>4/3</t>
        </is>
      </c>
      <c r="E77" s="11" t="inlineStr">
        <is>
          <t>I really like her! It was hard to engage in class bc of zoom but that wasnt in dr mayfields control. I can see she has a clear passion for what she does. [Respected, Get ready to read, Inspirational]</t>
        </is>
      </c>
    </row>
    <row r="78" hidden="1" outlineLevel="1" ht="45" customHeight="1">
      <c r="A78" s="105" t="inlineStr"/>
      <c r="B78" s="105" t="inlineStr">
        <is>
          <t>2021-12-05</t>
        </is>
      </c>
      <c r="C78" s="105" t="inlineStr">
        <is>
          <t>-</t>
        </is>
      </c>
      <c r="D78" s="105" t="inlineStr">
        <is>
          <t>5/2</t>
        </is>
      </c>
      <c r="E78" s="8" t="inlineStr">
        <is>
          <t>Really love this professor. Although the content of ANTH201 isn't particularly difficult, Mayfield is passionate about what she teaches. She is very caring and is easy on grading, attendance, etc. [Caring]</t>
        </is>
      </c>
    </row>
    <row r="79" hidden="1" outlineLevel="1" ht="90" customHeight="1">
      <c r="A79" s="107" t="inlineStr"/>
      <c r="B79" s="107" t="inlineStr">
        <is>
          <t>2021-12-02</t>
        </is>
      </c>
      <c r="C79" s="107" t="inlineStr">
        <is>
          <t>A+</t>
        </is>
      </c>
      <c r="D79" s="107" t="inlineStr">
        <is>
          <t>5/1</t>
        </is>
      </c>
      <c r="E79" s="11" t="inlineStr">
        <is>
          <t>Prof Mayfield is very kind, and cares a lot about her students. Her class gives a good amount of homework, but her lectures were asynchronous (you only have to go to the discussion sections), so there is plenty of time to do the work. There are weekly quizzes with unlimited retakes. She is very clear about what you need to do to get a good grade. [Get ready to read, Participation matters, EXTRA CREDIT]</t>
        </is>
      </c>
    </row>
    <row r="80" hidden="1" outlineLevel="1" ht="45" customHeight="1">
      <c r="A80" s="105" t="inlineStr"/>
      <c r="B80" s="105" t="inlineStr">
        <is>
          <t>2021-05-12</t>
        </is>
      </c>
      <c r="C80" s="105" t="inlineStr">
        <is>
          <t>A</t>
        </is>
      </c>
      <c r="D80" s="105" t="inlineStr">
        <is>
          <t>5/2</t>
        </is>
      </c>
      <c r="E80" s="8" t="inlineStr">
        <is>
          <t>Wonderful teacher with tons of accomplishments under her belt. Tons of opportunities for extra credit and is lenient. Pretty light course load, at least when online. [Respected, Accessible outside class, Clear grading criteria]</t>
        </is>
      </c>
    </row>
    <row r="81" hidden="1" outlineLevel="1" ht="60" customHeight="1">
      <c r="A81" s="107" t="inlineStr"/>
      <c r="B81" s="107" t="inlineStr">
        <is>
          <t>2021-04-27</t>
        </is>
      </c>
      <c r="C81" s="107" t="inlineStr">
        <is>
          <t>A+</t>
        </is>
      </c>
      <c r="D81" s="107" t="inlineStr">
        <is>
          <t>5/2</t>
        </is>
      </c>
      <c r="E81" s="11" t="inlineStr">
        <is>
          <t>Great professor online, would love to have her in person. Do the readings and pay attention in discussion and you'll get an A. She makes all assignments, tests, papers very straightforward and is easy to access outside of class. [Gives good feedback, Accessible outside class, Get ready to read]</t>
        </is>
      </c>
    </row>
    <row r="82" hidden="1" outlineLevel="1" ht="75" customHeight="1">
      <c r="A82" s="105" t="inlineStr"/>
      <c r="B82" s="105" t="inlineStr">
        <is>
          <t>2020-12-07</t>
        </is>
      </c>
      <c r="C82" s="105" t="inlineStr">
        <is>
          <t>A</t>
        </is>
      </c>
      <c r="D82" s="105" t="inlineStr">
        <is>
          <t>5/2</t>
        </is>
      </c>
      <c r="E82" s="8" t="inlineStr">
        <is>
          <t>To be honest, I was not interested in historical archeology, which is the main content taught. The names of the historical sites are hard to memorize, which could be confusing. I don't think I do really well but Mayfield is really nice providing enough chances for you to pass, or to get an A. Not hard to archieve good grades if that's your goal. [Gives good feedback, Respected, EXTRA CREDIT]</t>
        </is>
      </c>
    </row>
    <row r="83" hidden="1" outlineLevel="1" ht="30" customHeight="1">
      <c r="A83" s="107" t="inlineStr"/>
      <c r="B83" s="107" t="inlineStr">
        <is>
          <t>2020-11-21</t>
        </is>
      </c>
      <c r="C83" s="107" t="inlineStr">
        <is>
          <t>A</t>
        </is>
      </c>
      <c r="D83" s="107" t="inlineStr">
        <is>
          <t>5/1</t>
        </is>
      </c>
      <c r="E83" s="11" t="inlineStr">
        <is>
          <t>Mayfield is like Jesus: if Jesus can turn water into wine Mayfield can turn your grade to be fine [Get ready to read, Caring, EXTRA CREDIT]</t>
        </is>
      </c>
    </row>
    <row r="84" hidden="1" outlineLevel="1" ht="60" customHeight="1">
      <c r="A84" s="105" t="inlineStr"/>
      <c r="B84" s="105" t="inlineStr">
        <is>
          <t>2020-11-20</t>
        </is>
      </c>
      <c r="C84" s="105" t="inlineStr">
        <is>
          <t>A</t>
        </is>
      </c>
      <c r="D84" s="105" t="inlineStr">
        <is>
          <t>5/2</t>
        </is>
      </c>
      <c r="E84" s="8" t="inlineStr">
        <is>
          <t>Dr. Mayfield is phenomenal, and 314 is a great GE. If you enjoy history, this class should be pretty easy for you. Lots of extra credit and some pretty fascinating material. Also, the TA Dr. Heller is AMAZING. Dude should be teaching his own course.</t>
        </is>
      </c>
    </row>
    <row r="85" hidden="1" outlineLevel="1" ht="90" customHeight="1">
      <c r="A85" s="107" t="inlineStr"/>
      <c r="B85" s="107" t="inlineStr">
        <is>
          <t>2020-11-20</t>
        </is>
      </c>
      <c r="C85" s="107" t="inlineStr">
        <is>
          <t>Not sure yet</t>
        </is>
      </c>
      <c r="D85" s="107" t="inlineStr">
        <is>
          <t>5/1</t>
        </is>
      </c>
      <c r="E85" s="11" t="inlineStr">
        <is>
          <t>Tracie is an absolute gem. Her course material really expanded my understanding of archaeology. She assigns a fair amount of reading per week but it's nothing too difficult or intimidating (imo they're also engaging). As for exams we go over it during class so no stress. You will get a good grade if you do the work. TAKE HER, she's a lovely person! [Get ready to read, Clear grading criteria, Caring]</t>
        </is>
      </c>
    </row>
    <row r="86" hidden="1" outlineLevel="1" ht="90" customHeight="1">
      <c r="A86" s="105" t="inlineStr"/>
      <c r="B86" s="105" t="inlineStr">
        <is>
          <t>2020-11-19</t>
        </is>
      </c>
      <c r="C86" s="105" t="inlineStr">
        <is>
          <t>Not sure yet</t>
        </is>
      </c>
      <c r="D86" s="105" t="inlineStr">
        <is>
          <t>5/1</t>
        </is>
      </c>
      <c r="E86" s="8" t="inlineStr">
        <is>
          <t>THE BEST CHOICE FOR AN ONLINE GE! SO MUCH EXTRA CREDIT to keep up and extremely understanding during COVID. No surprises in multiple choice and test (we go over everything) and Professor Mayfield is extremely engaging with students. You can make this class into anything you want it to be, I wrote my final paper around urban studies Take it trust me [Clear grading criteria, Amazing lectures, EXTRA CREDIT]</t>
        </is>
      </c>
    </row>
    <row r="87" hidden="1" outlineLevel="1" ht="75" customHeight="1">
      <c r="A87" s="107" t="inlineStr"/>
      <c r="B87" s="107" t="inlineStr">
        <is>
          <t>2020-11-16</t>
        </is>
      </c>
      <c r="C87" s="107" t="inlineStr">
        <is>
          <t>B+</t>
        </is>
      </c>
      <c r="D87" s="107" t="inlineStr">
        <is>
          <t>3/4</t>
        </is>
      </c>
      <c r="E87" s="11" t="inlineStr">
        <is>
          <t>Tracie Mayfield is obviously passionate about what she teaches, but she often assigns too much reading every week and expects you to remember tiny details when it comes to the midterm and the final. I enjoyed the subject of the class but it was difficult to keep up. The lectures were also boring and so was the reading. [Lots of homework, Participation matters, Lecture heavy]</t>
        </is>
      </c>
    </row>
    <row r="88" hidden="1" outlineLevel="1" ht="75" customHeight="1">
      <c r="A88" s="105" t="inlineStr"/>
      <c r="B88" s="105" t="inlineStr">
        <is>
          <t>2020-11-14</t>
        </is>
      </c>
      <c r="C88" s="105" t="inlineStr">
        <is>
          <t>Not sure yet</t>
        </is>
      </c>
      <c r="D88" s="105" t="inlineStr">
        <is>
          <t>5/2</t>
        </is>
      </c>
      <c r="E88" s="8" t="inlineStr">
        <is>
          <t>She is THE BEST!! Super sweet and caring professor, and gives a ton of extra credit opportunities. Weekly quizzes, a midterm, a final, and a paper, but the quizzes were never hard (and you can take them as many times as you wanted). The professor is easily accessible outside of class. Tests were manageable since they were open note. TAKE HER CLASS! [Caring, EXTRA CREDIT]</t>
        </is>
      </c>
    </row>
    <row r="89" hidden="1" outlineLevel="1" ht="90" customHeight="1">
      <c r="A89" s="107" t="inlineStr"/>
      <c r="B89" s="107" t="inlineStr">
        <is>
          <t>2020-11-11</t>
        </is>
      </c>
      <c r="C89" s="107" t="inlineStr">
        <is>
          <t>-</t>
        </is>
      </c>
      <c r="D89" s="107" t="inlineStr">
        <is>
          <t>5/4</t>
        </is>
      </c>
      <c r="E89" s="11" t="inlineStr">
        <is>
          <t>BEST GE PROFESSOR. A lot of work but her caring and on-task personality makes up for it. She provides so many opportunities for extra credit and she is always available outside of class. Although midterm was a little hard, you just gotta review the materials (usually the quizzes and lectures). Course is eh, but the professor is amazing. [Accessible outside class, Clear grading criteria, EXTRA CREDIT]</t>
        </is>
      </c>
    </row>
    <row r="90" hidden="1" outlineLevel="1" ht="75" customHeight="1">
      <c r="A90" s="105" t="inlineStr"/>
      <c r="B90" s="105" t="inlineStr">
        <is>
          <t>2020-06-04</t>
        </is>
      </c>
      <c r="C90" s="105" t="inlineStr">
        <is>
          <t>A</t>
        </is>
      </c>
      <c r="D90" s="105" t="inlineStr">
        <is>
          <t>4/1</t>
        </is>
      </c>
      <c r="E90" s="8" t="inlineStr">
        <is>
          <t>She gives a lot of extra credit! Your grade is participation, a 12 page paper, and two exams but the exams are open note and open book. Some of the things we were tested on were pretty random and I would not have done well if it wasn't open book. The lectures are not that exciting, but she takes attendance , but she gives u 5 &amp;quot;freebies&amp;quot;</t>
        </is>
      </c>
    </row>
    <row r="91" hidden="1" outlineLevel="1" ht="60" customHeight="1">
      <c r="A91" s="107" t="inlineStr"/>
      <c r="B91" s="107" t="inlineStr">
        <is>
          <t>2020-05-20</t>
        </is>
      </c>
      <c r="C91" s="107" t="inlineStr">
        <is>
          <t>A</t>
        </is>
      </c>
      <c r="D91" s="107" t="inlineStr">
        <is>
          <t>5/1</t>
        </is>
      </c>
      <c r="E91" s="11" t="inlineStr">
        <is>
          <t>Mayfield was a casual and engaging lecturer, who really just wants you to be passionate about archaeology. Her lectures and readings had a lot of information, but the exams were all open-book, so it didn't take much work to get an A in the class. ANTH 202's a great GE. [Inspirational, Hilarious, Lecture heavy]</t>
        </is>
      </c>
    </row>
    <row r="92" hidden="1" outlineLevel="1" ht="75" customHeight="1">
      <c r="A92" s="105" t="inlineStr"/>
      <c r="B92" s="105" t="inlineStr">
        <is>
          <t>2020-05-03</t>
        </is>
      </c>
      <c r="C92" s="105" t="inlineStr">
        <is>
          <t>-</t>
        </is>
      </c>
      <c r="D92" s="105" t="inlineStr">
        <is>
          <t>5/3</t>
        </is>
      </c>
      <c r="E92" s="8" t="inlineStr">
        <is>
          <t>She's great-- knows what she's talking about and how to make you enjoy listening to her. Lots of extra credit, but very few things you get graded on. Basically one final paper and its drafts, along with the final and midterm. Still, an interesting and pretty easy GE. [Accessible outside class, Graded by few things, Hilarious]</t>
        </is>
      </c>
    </row>
    <row r="93" hidden="1" outlineLevel="1" ht="30" customHeight="1">
      <c r="A93" s="107" t="inlineStr"/>
      <c r="B93" s="107" t="inlineStr">
        <is>
          <t>2020-01-16</t>
        </is>
      </c>
      <c r="C93" s="107" t="inlineStr">
        <is>
          <t>-</t>
        </is>
      </c>
      <c r="D93" s="107" t="inlineStr">
        <is>
          <t>5/1</t>
        </is>
      </c>
      <c r="E93" s="11" t="inlineStr">
        <is>
          <t>Awesome professor</t>
        </is>
      </c>
    </row>
    <row r="94" hidden="1" outlineLevel="1" ht="90" customHeight="1">
      <c r="A94" s="105" t="inlineStr"/>
      <c r="B94" s="105" t="inlineStr">
        <is>
          <t>2019-11-20</t>
        </is>
      </c>
      <c r="C94" s="105" t="inlineStr">
        <is>
          <t>-</t>
        </is>
      </c>
      <c r="D94" s="105" t="inlineStr">
        <is>
          <t>5/2</t>
        </is>
      </c>
      <c r="E94" s="8" t="inlineStr">
        <is>
          <t>Dr. Mayfield is super passionate about the topic and an awesome teacher! She grades easily but is really invested in making sure you know the topic. You can miss up to five lectures/discussions but lectures are usually just watching movies like black panther. Reading is slightly heavy and you have to do a writeup each week but you can skim &amp;amp; dogood [Lots of homework, Participation matters, EXTRA CREDIT]</t>
        </is>
      </c>
    </row>
    <row r="95" hidden="1" outlineLevel="1" ht="75" customHeight="1">
      <c r="A95" s="107" t="inlineStr"/>
      <c r="B95" s="107" t="inlineStr">
        <is>
          <t>2018-11-30</t>
        </is>
      </c>
      <c r="C95" s="107" t="inlineStr">
        <is>
          <t>-</t>
        </is>
      </c>
      <c r="D95" s="107" t="inlineStr">
        <is>
          <t>5/3</t>
        </is>
      </c>
      <c r="E95" s="11" t="inlineStr">
        <is>
          <t>Dr. Mayfield made a great TA for ANTH202. Her lab lectures are often group-oriented with fun in-class projects. She has a great habit of treating these projects as a kind of game. Quiz bowls, archaeology case studies, drawing sites, and analyzing pottery shards are all things you'll do. [Gives good feedback, Hilarious, GROUP PROJECTS]</t>
        </is>
      </c>
    </row>
    <row r="96" hidden="1" outlineLevel="1" ht="30" customHeight="1">
      <c r="A96" s="106" t="inlineStr">
        <is>
          <t>ECON-351</t>
        </is>
      </c>
      <c r="B96" s="107" t="inlineStr">
        <is>
          <t>2026-02-25</t>
        </is>
      </c>
      <c r="C96" s="107" t="inlineStr">
        <is>
          <t>A</t>
        </is>
      </c>
      <c r="D96" s="107" t="inlineStr">
        <is>
          <t>5/1</t>
        </is>
      </c>
      <c r="E96" s="11" t="inlineStr">
        <is>
          <t>The tests are easy if you just do the practice sets. He's great at explanations. [Amazing lectures, So many papers, Graded by few things]</t>
        </is>
      </c>
    </row>
    <row r="97" hidden="1" outlineLevel="1" ht="75" customHeight="1">
      <c r="A97" s="105" t="inlineStr"/>
      <c r="B97" s="105" t="inlineStr">
        <is>
          <t>2026-01-27</t>
        </is>
      </c>
      <c r="C97" s="105" t="inlineStr">
        <is>
          <t>C-</t>
        </is>
      </c>
      <c r="D97" s="105" t="inlineStr">
        <is>
          <t>5/4</t>
        </is>
      </c>
      <c r="E97" s="8" t="inlineStr">
        <is>
          <t>personally the class is hard, because there is a lot of content. do not procrastinate it will be your downfall. midterms are the same as mock exams and homework, so just practice that. group project at end is straightforward, homework is easy. ultimately your grade depends on your own effort so try!! [Get ready to read, Lecture heavy, Test heavy]</t>
        </is>
      </c>
    </row>
    <row r="98" hidden="1" outlineLevel="1" ht="60" customHeight="1">
      <c r="A98" s="107" t="inlineStr"/>
      <c r="B98" s="107" t="inlineStr">
        <is>
          <t>2026-01-07</t>
        </is>
      </c>
      <c r="C98" s="107" t="inlineStr">
        <is>
          <t>A</t>
        </is>
      </c>
      <c r="D98" s="107" t="inlineStr">
        <is>
          <t>4/3</t>
        </is>
      </c>
      <c r="E98" s="11" t="inlineStr">
        <is>
          <t>Alejandro is very nice and sometimes his accent is hard to understand in lecture but overall you understand what he is saying. The tests are exactly like the practice problems and he's very funny. Do the practice and you will do well in class! [Respected, Test heavy]</t>
        </is>
      </c>
    </row>
    <row r="99" hidden="1" outlineLevel="1" ht="75" customHeight="1">
      <c r="A99" s="105" t="inlineStr"/>
      <c r="B99" s="105" t="inlineStr">
        <is>
          <t>2026-01-06</t>
        </is>
      </c>
      <c r="C99" s="105" t="inlineStr">
        <is>
          <t>C-</t>
        </is>
      </c>
      <c r="D99" s="105" t="inlineStr">
        <is>
          <t>3/4</t>
        </is>
      </c>
      <c r="E99" s="8" t="inlineStr">
        <is>
          <t>His lectures are enjoyable and structures the class to be very flexible with no required attendance and lenient homework policies. He does however have a spanish accent which makes understading lecture difficult sometimes. Additonally, I felt the lectures and textbook do not adequately prepare you for exams. [Amazing lectures, Respected, Graded by few things]</t>
        </is>
      </c>
    </row>
    <row r="100" hidden="1" outlineLevel="1" ht="90" customHeight="1">
      <c r="A100" s="107" t="inlineStr"/>
      <c r="B100" s="107" t="inlineStr">
        <is>
          <t>2025-12-30</t>
        </is>
      </c>
      <c r="C100" s="107" t="inlineStr">
        <is>
          <t>A</t>
        </is>
      </c>
      <c r="D100" s="107" t="inlineStr">
        <is>
          <t>4/4</t>
        </is>
      </c>
      <c r="E100" s="11" t="inlineStr">
        <is>
          <t>Really great professor, he writes on the board with practice questions, so concepts are easier to follow. He has an excellent TA who goes through all the questions, is super understanding and helpful, and she explains concepts really well. He has an accent, but it did not hinder my ability to learn. Definitely self-study as well, with the textbook! [Lecture heavy, Test heavy, Graded by few things]</t>
        </is>
      </c>
    </row>
    <row r="101" hidden="1" outlineLevel="1" ht="75" customHeight="1">
      <c r="A101" s="105" t="inlineStr"/>
      <c r="B101" s="105" t="inlineStr">
        <is>
          <t>2025-12-24</t>
        </is>
      </c>
      <c r="C101" s="105" t="inlineStr">
        <is>
          <t>A</t>
        </is>
      </c>
      <c r="D101" s="105" t="inlineStr">
        <is>
          <t>5/3</t>
        </is>
      </c>
      <c r="E101" s="8" t="inlineStr">
        <is>
          <t>Amazing professor. Has an accent but you get used to it. Can go through material pretty quickly, but he writes on board and explains while demonstrating, which helps a lot. He also goes back to explain if students are still confused. Exams are relatively the same as practice problems he gives. [Lecture heavy, Test heavy, Graded by few things]</t>
        </is>
      </c>
    </row>
    <row r="102" hidden="1" outlineLevel="1" ht="60" customHeight="1">
      <c r="A102" s="107" t="inlineStr"/>
      <c r="B102" s="107" t="inlineStr">
        <is>
          <t>2025-12-16</t>
        </is>
      </c>
      <c r="C102" s="107" t="inlineStr">
        <is>
          <t>A</t>
        </is>
      </c>
      <c r="D102" s="107" t="inlineStr">
        <is>
          <t>5/3</t>
        </is>
      </c>
      <c r="E102" s="11" t="inlineStr">
        <is>
          <t>GREAT PROFESSOR. He breaks down the steps of each problem amazingly, accent is a little thick (sit in the front it helps a lot), His office hours are worth it, he will make sure you understand!! Work hard from the beginning and do ALL practice problems (repeats in test). [Hilarious, Respected, Test heavy]</t>
        </is>
      </c>
    </row>
    <row r="103" hidden="1" outlineLevel="1" ht="75" customHeight="1">
      <c r="A103" s="105" t="inlineStr"/>
      <c r="B103" s="105" t="inlineStr">
        <is>
          <t>2025-12-11</t>
        </is>
      </c>
      <c r="C103" s="105" t="inlineStr">
        <is>
          <t>Not sure yet</t>
        </is>
      </c>
      <c r="D103" s="105" t="inlineStr">
        <is>
          <t>5/3</t>
        </is>
      </c>
      <c r="E103" s="8" t="inlineStr">
        <is>
          <t>Its a hard class and his lectures go by quick. With that being said he is really good at teaching and also really accessible outside of class. Answers emails extremely quickly and grades test within a few days of the test date. Exams are hard, but if you study and go to an office hour before the test your fine. [Amazing lectures, Test heavy, Accessible outside class]</t>
        </is>
      </c>
    </row>
    <row r="104" hidden="1" outlineLevel="1" ht="75" customHeight="1">
      <c r="A104" s="107" t="inlineStr"/>
      <c r="B104" s="107" t="inlineStr">
        <is>
          <t>2025-12-05</t>
        </is>
      </c>
      <c r="C104" s="107" t="inlineStr">
        <is>
          <t>Drop/Withdrawal</t>
        </is>
      </c>
      <c r="D104" s="107" t="inlineStr">
        <is>
          <t>1/5</t>
        </is>
      </c>
      <c r="E104" s="11" t="inlineStr">
        <is>
          <t>Professor flies through the lectures and his accent makes it difficult to understand and keep up. The course is already known for being a tough course. When questions are asked he sort of laughs and makes you feel bad before explaining. He has really good TAs though that help you step by step. I would definitely go to office hours.</t>
        </is>
      </c>
    </row>
    <row r="105" hidden="1" outlineLevel="1" ht="60" customHeight="1">
      <c r="A105" s="105" t="inlineStr"/>
      <c r="B105" s="105" t="inlineStr">
        <is>
          <t>2025-12-04</t>
        </is>
      </c>
      <c r="C105" s="105" t="inlineStr">
        <is>
          <t>Not sure yet</t>
        </is>
      </c>
      <c r="D105" s="105" t="inlineStr">
        <is>
          <t>1/5</t>
        </is>
      </c>
      <c r="E105" s="8" t="inlineStr">
        <is>
          <t>- Genuinely moves at the speed of light - Is accessible outside of class, but truly have to grind for an A - Exams are super hard, homeworks are free - Professor is a bit condescending but means well [Lecture heavy, Test heavy, Graded by few things]</t>
        </is>
      </c>
    </row>
    <row r="106" hidden="1" outlineLevel="1" ht="45" customHeight="1">
      <c r="A106" s="107" t="inlineStr"/>
      <c r="B106" s="107" t="inlineStr">
        <is>
          <t>2025-11-17</t>
        </is>
      </c>
      <c r="C106" s="107" t="inlineStr">
        <is>
          <t>Not sure yet</t>
        </is>
      </c>
      <c r="D106" s="107" t="inlineStr">
        <is>
          <t>3/4</t>
        </is>
      </c>
      <c r="E106" s="11" t="inlineStr">
        <is>
          <t>His accent and super fast pace of the class/lecture make it so hard to understand. The class is already hard and the speed of the lectures make this so hard [Lecture heavy, Graded by few things]</t>
        </is>
      </c>
    </row>
    <row r="107" hidden="1" outlineLevel="1" ht="75" customHeight="1">
      <c r="A107" s="105" t="inlineStr"/>
      <c r="B107" s="105" t="inlineStr">
        <is>
          <t>2025-10-16</t>
        </is>
      </c>
      <c r="C107" s="105" t="inlineStr">
        <is>
          <t>Not sure yet</t>
        </is>
      </c>
      <c r="D107" s="105" t="inlineStr">
        <is>
          <t>5/3</t>
        </is>
      </c>
      <c r="E107" s="8" t="inlineStr">
        <is>
          <t>He does talk fast but if you don't understand or need to hear concept again he will gladly explain it to you until you get it. Very nice wants you to get an A but Econ isn't an easy class. Office hours are great way to prepare for test. Study guides very similar to exams. [Amazing lectures, Clear grading criteria, Accessible outside class]</t>
        </is>
      </c>
    </row>
    <row r="108" hidden="1" outlineLevel="1" ht="30" customHeight="1">
      <c r="A108" s="107" t="inlineStr"/>
      <c r="B108" s="107" t="inlineStr">
        <is>
          <t>2025-10-15</t>
        </is>
      </c>
      <c r="C108" s="107" t="inlineStr">
        <is>
          <t>-</t>
        </is>
      </c>
      <c r="D108" s="107" t="inlineStr">
        <is>
          <t>5/2</t>
        </is>
      </c>
      <c r="E108" s="11" t="inlineStr">
        <is>
          <t>Fantastic Professor. Easy looking at. Funny guy. Muy bien</t>
        </is>
      </c>
    </row>
    <row r="109" hidden="1" outlineLevel="1" ht="45" customHeight="1">
      <c r="A109" s="105" t="inlineStr"/>
      <c r="B109" s="105" t="inlineStr">
        <is>
          <t>2025-10-06</t>
        </is>
      </c>
      <c r="C109" s="105" t="inlineStr">
        <is>
          <t>Not sure yet</t>
        </is>
      </c>
      <c r="D109" s="105" t="inlineStr">
        <is>
          <t>4/2</t>
        </is>
      </c>
      <c r="E109" s="8" t="inlineStr">
        <is>
          <t>Talks too fast and is hard to understand because of his accent. He mostly reads off the slides. But fun classes and passionate lecturer who encourages questions. He also uses real life examples which is useful.</t>
        </is>
      </c>
    </row>
    <row r="110" hidden="1" outlineLevel="1" ht="60" customHeight="1">
      <c r="A110" s="107" t="inlineStr"/>
      <c r="B110" s="107" t="inlineStr">
        <is>
          <t>2025-10-06</t>
        </is>
      </c>
      <c r="C110" s="107" t="inlineStr">
        <is>
          <t>Not sure yet</t>
        </is>
      </c>
      <c r="D110" s="107" t="inlineStr">
        <is>
          <t>1/4</t>
        </is>
      </c>
      <c r="E110" s="11" t="inlineStr">
        <is>
          <t>Bro talks so fast, literally I was better off teaching it to myself outside of class. EXTREMELY condescending. I would go to his office hours and he would laugh at certain students questions and belittle them. Idk how his rating is so high, I'd drop if it weren't already to late in the semester. [Test heavy]</t>
        </is>
      </c>
    </row>
    <row r="111" hidden="1" outlineLevel="1" ht="45" customHeight="1">
      <c r="A111" s="105" t="inlineStr"/>
      <c r="B111" s="105" t="inlineStr">
        <is>
          <t>2025-10-06</t>
        </is>
      </c>
      <c r="C111" s="105" t="inlineStr">
        <is>
          <t>Not sure yet</t>
        </is>
      </c>
      <c r="D111" s="105" t="inlineStr">
        <is>
          <t>5/4</t>
        </is>
      </c>
      <c r="E111" s="8" t="inlineStr">
        <is>
          <t>no glaze, he's a really good professor and explained concepts very well. Would take him again every single time if I could choose. [Amazing lectures, Inspirational, Caring]</t>
        </is>
      </c>
    </row>
    <row r="112" hidden="1" outlineLevel="1" ht="45" customHeight="1">
      <c r="A112" s="107" t="inlineStr"/>
      <c r="B112" s="107" t="inlineStr">
        <is>
          <t>2025-06-25</t>
        </is>
      </c>
      <c r="C112" s="107" t="inlineStr">
        <is>
          <t>A</t>
        </is>
      </c>
      <c r="D112" s="107" t="inlineStr">
        <is>
          <t>5/2</t>
        </is>
      </c>
      <c r="E112" s="11" t="inlineStr">
        <is>
          <t>Best professor I've had at USC. Took his econ351 class in fall 2024 and learned so much. Class is on Marshall curve so its competitive to get an A, but it wasn't that hard. [Inspirational, Lecture heavy, Graded by few things]</t>
        </is>
      </c>
    </row>
    <row r="113" hidden="1" outlineLevel="1" ht="75" customHeight="1">
      <c r="A113" s="105" t="inlineStr"/>
      <c r="B113" s="105" t="inlineStr">
        <is>
          <t>2025-05-30</t>
        </is>
      </c>
      <c r="C113" s="105" t="inlineStr">
        <is>
          <t>A</t>
        </is>
      </c>
      <c r="D113" s="105" t="inlineStr">
        <is>
          <t>5/2</t>
        </is>
      </c>
      <c r="E113" s="8" t="inlineStr">
        <is>
          <t>ECON 351 is a hard class no matter what, but if you have to take it def take Professor Martinez. Funny guy, doesn't mind explaining over and over again and has great lecture slides. Great TAs and curve. Tests are hard but they are no matter who you take. Hosts lots of reviews and genuinely cares and wants to hear our perspectives. Miss him!</t>
        </is>
      </c>
    </row>
    <row r="114" hidden="1" outlineLevel="1" ht="60" customHeight="1">
      <c r="A114" s="107" t="inlineStr"/>
      <c r="B114" s="107" t="inlineStr">
        <is>
          <t>2025-05-17</t>
        </is>
      </c>
      <c r="C114" s="107" t="inlineStr">
        <is>
          <t>A</t>
        </is>
      </c>
      <c r="D114" s="107" t="inlineStr">
        <is>
          <t>5/2</t>
        </is>
      </c>
      <c r="E114" s="11" t="inlineStr">
        <is>
          <t>This was my favorite professor of all time. In fact, the best professor I have ever had in my academic career. I highly recommend him. He makes lectures so fun. The class is hard, but if you understand calculus then you will ace the course. Highly recommend. [Amazing lectures, Inspirational, Caring]</t>
        </is>
      </c>
    </row>
    <row r="115" hidden="1" outlineLevel="1" ht="75" customHeight="1">
      <c r="A115" s="105" t="inlineStr"/>
      <c r="B115" s="105" t="inlineStr">
        <is>
          <t>2025-05-01</t>
        </is>
      </c>
      <c r="C115" s="105" t="inlineStr">
        <is>
          <t>B-</t>
        </is>
      </c>
      <c r="D115" s="105" t="inlineStr">
        <is>
          <t>2/5</t>
        </is>
      </c>
      <c r="E115" s="8" t="inlineStr">
        <is>
          <t>I am not sure why his reviews are so high... I was barely able to get a B- in this class after studying over 10 hours for each test. The practice tests were only somewhat similar and the homework took a lot of time. I would not recommend this teacher unless you want to go to office hours every week and try to get him to like you. [Lecture heavy, Test heavy, Graded by few things]</t>
        </is>
      </c>
    </row>
    <row r="116" hidden="1" outlineLevel="1" ht="30" customHeight="1">
      <c r="A116" s="107" t="inlineStr"/>
      <c r="B116" s="107" t="inlineStr">
        <is>
          <t>2025-01-29</t>
        </is>
      </c>
      <c r="C116" s="107" t="inlineStr">
        <is>
          <t>Not sure yet</t>
        </is>
      </c>
      <c r="D116" s="107" t="inlineStr">
        <is>
          <t>5/5</t>
        </is>
      </c>
      <c r="E116" s="11" t="inlineStr">
        <is>
          <t>He's so easy to look at&amp;#8230; take him [Tough grader, EXTRA CREDIT, Amazing lectures]</t>
        </is>
      </c>
    </row>
    <row r="117" hidden="1" outlineLevel="1" ht="75" customHeight="1">
      <c r="A117" s="105" t="inlineStr"/>
      <c r="B117" s="105" t="inlineStr">
        <is>
          <t>2025-01-18</t>
        </is>
      </c>
      <c r="C117" s="105" t="inlineStr">
        <is>
          <t>A</t>
        </is>
      </c>
      <c r="D117" s="105" t="inlineStr">
        <is>
          <t>5/2</t>
        </is>
      </c>
      <c r="E117" s="8" t="inlineStr">
        <is>
          <t>He is amazing. Went into 351 being really scared but honestly this class was way easier than I thought it would be. As long as you do all the practice problems and homework, there's no reason why you shouldn't get an A as tests are 95% similar to what you've seen before. For those complaining, they were just lazy and didn't do the work. [Amazing lectures, Hilarious, Graded by few things]</t>
        </is>
      </c>
    </row>
    <row r="118" hidden="1" outlineLevel="1" ht="60" customHeight="1">
      <c r="A118" s="107" t="inlineStr"/>
      <c r="B118" s="107" t="inlineStr">
        <is>
          <t>2025-01-10</t>
        </is>
      </c>
      <c r="C118" s="107" t="inlineStr">
        <is>
          <t>B</t>
        </is>
      </c>
      <c r="D118" s="107" t="inlineStr">
        <is>
          <t>2/4</t>
        </is>
      </c>
      <c r="E118" s="11" t="inlineStr">
        <is>
          <t>office hours with the TA saved me as his were completely full all the time. lectures were organized but he went so fast with explanations and skipped many steps making it confusing. only graded on 3 tests no curve and they are very difficult and only 24 points so very hard to get a good grade [Graded by few things]</t>
        </is>
      </c>
    </row>
    <row r="119" hidden="1" outlineLevel="1" ht="60" customHeight="1">
      <c r="A119" s="105" t="inlineStr"/>
      <c r="B119" s="105" t="inlineStr">
        <is>
          <t>2025-01-02</t>
        </is>
      </c>
      <c r="C119" s="105" t="inlineStr">
        <is>
          <t>Not sure yet</t>
        </is>
      </c>
      <c r="D119" s="105" t="inlineStr">
        <is>
          <t>3/5</t>
        </is>
      </c>
      <c r="E119" s="8" t="inlineStr">
        <is>
          <t>His lectures were very confusing, and he taught so quickly. If you go to HIS office hours, he'll give you all the answers to homework and practice tests, which was nice, but his tests were very hard. He does not curve at all, so expect your grade to be heavily based on how you perform on the tests.</t>
        </is>
      </c>
    </row>
    <row r="120" hidden="1" outlineLevel="1" ht="75" customHeight="1">
      <c r="A120" s="107" t="inlineStr"/>
      <c r="B120" s="107" t="inlineStr">
        <is>
          <t>2024-12-28</t>
        </is>
      </c>
      <c r="C120" s="107" t="inlineStr">
        <is>
          <t>A</t>
        </is>
      </c>
      <c r="D120" s="107" t="inlineStr">
        <is>
          <t>5/3</t>
        </is>
      </c>
      <c r="E120" s="11" t="inlineStr">
        <is>
          <t>BEST PROF FOR ECON351. Tests are exactly what's on hw &amp; practice sets. Lots of office hours. He let us go to any of his lectures (no attendance taken) + recordings posted online. He's great at explaining and his class makes econ fun/interesting. No complaints at all, very fair/interesting/funny guy. He wants you to get an A! TAKE HIM, TRUST. [Hilarious, Respected, Lecture heavy]</t>
        </is>
      </c>
    </row>
    <row r="121" hidden="1" outlineLevel="1" ht="30" customHeight="1">
      <c r="A121" s="105" t="inlineStr"/>
      <c r="B121" s="105" t="inlineStr">
        <is>
          <t>2024-12-21</t>
        </is>
      </c>
      <c r="C121" s="105" t="inlineStr">
        <is>
          <t>A</t>
        </is>
      </c>
      <c r="D121" s="105" t="inlineStr">
        <is>
          <t>5/3</t>
        </is>
      </c>
      <c r="E121" s="8" t="inlineStr">
        <is>
          <t>Awesome professor. Lectures are interesting and exams are very similar to practice tests. [Amazing lectures, Clear grading criteria, Graded by few things]</t>
        </is>
      </c>
    </row>
    <row r="122" hidden="1" outlineLevel="1" ht="75" customHeight="1">
      <c r="A122" s="107" t="inlineStr"/>
      <c r="B122" s="107" t="inlineStr">
        <is>
          <t>2024-12-21</t>
        </is>
      </c>
      <c r="C122" s="107" t="inlineStr">
        <is>
          <t>B+</t>
        </is>
      </c>
      <c r="D122" s="107" t="inlineStr">
        <is>
          <t>4/5</t>
        </is>
      </c>
      <c r="E122" s="11" t="inlineStr">
        <is>
          <t>Good professor, but I would not take him again. he puts "trick questions" on exams so no one ends up getting them right. He switches up the questions on exams and they are way harder. I never put so much work into a class and I only got a B+ and thats with a 10 point curve so in reality my grade should be lower. [Tough grader, Amazing lectures, Test heavy]</t>
        </is>
      </c>
    </row>
    <row r="123" hidden="1" outlineLevel="1" ht="75" customHeight="1">
      <c r="A123" s="105" t="inlineStr"/>
      <c r="B123" s="105" t="inlineStr">
        <is>
          <t>2024-12-20</t>
        </is>
      </c>
      <c r="C123" s="105" t="inlineStr">
        <is>
          <t>A</t>
        </is>
      </c>
      <c r="D123" s="105" t="inlineStr">
        <is>
          <t>5/3</t>
        </is>
      </c>
      <c r="E123" s="8" t="inlineStr">
        <is>
          <t>goat. 351 is hard but he makes it interesting and manageable. 3 exams each worth 30% and the other 10% is homework. go to lecture, do the practice problems and if you're still struggling read the textbook or go to office hours. take his class to get an A in econ and to laugh because he's hilarious. [Amazing lectures, Graded by few things]</t>
        </is>
      </c>
    </row>
    <row r="124" hidden="1" outlineLevel="1" ht="45" customHeight="1">
      <c r="A124" s="107" t="inlineStr"/>
      <c r="B124" s="107" t="inlineStr">
        <is>
          <t>2024-12-20</t>
        </is>
      </c>
      <c r="C124" s="107" t="inlineStr">
        <is>
          <t>A</t>
        </is>
      </c>
      <c r="D124" s="107" t="inlineStr">
        <is>
          <t>5/3</t>
        </is>
      </c>
      <c r="E124" s="11" t="inlineStr">
        <is>
          <t>Amazing professor! He includes real-world applications, which helps with understanding. And, I thought the class aligned with what he shared on the first day. Overall could not recommend more! [Amazing lectures, Caring]</t>
        </is>
      </c>
    </row>
    <row r="125" hidden="1" outlineLevel="1" ht="60" customHeight="1">
      <c r="A125" s="105" t="inlineStr"/>
      <c r="B125" s="105" t="inlineStr">
        <is>
          <t>2024-12-19</t>
        </is>
      </c>
      <c r="C125" s="105" t="inlineStr">
        <is>
          <t>A</t>
        </is>
      </c>
      <c r="D125" s="105" t="inlineStr">
        <is>
          <t>5/2</t>
        </is>
      </c>
      <c r="E125" s="8" t="inlineStr">
        <is>
          <t>Goat. Simple as that. Gives plenty of practice tests/problems that are identical in concept and form to the actual tests. Just be aware that the bar for an A-range grade may change throughout the semester (i.e. A-range = &gt;80 to A-range = &gt;85). [Caring, Test heavy, Accessible outside class]</t>
        </is>
      </c>
    </row>
    <row r="126" hidden="1" outlineLevel="1" ht="75" customHeight="1">
      <c r="A126" s="107" t="inlineStr"/>
      <c r="B126" s="107" t="inlineStr">
        <is>
          <t>2024-12-05</t>
        </is>
      </c>
      <c r="C126" s="107" t="inlineStr">
        <is>
          <t>A</t>
        </is>
      </c>
      <c r="D126" s="107" t="inlineStr">
        <is>
          <t>5/3</t>
        </is>
      </c>
      <c r="E126" s="11" t="inlineStr">
        <is>
          <t>Best teacher for microeconomics. Explains concepts well and is very clear about what will be on exams. Practice exams and chapter questions are identical to what will be on the tests. He's also super caring and will take the time to help you out and answer questions. By far my favorite professor this semester! [Caring]</t>
        </is>
      </c>
    </row>
    <row r="127" hidden="1" outlineLevel="1" ht="75" customHeight="1">
      <c r="A127" s="105" t="inlineStr"/>
      <c r="B127" s="105" t="inlineStr">
        <is>
          <t>2024-12-05</t>
        </is>
      </c>
      <c r="C127" s="105" t="inlineStr">
        <is>
          <t>-</t>
        </is>
      </c>
      <c r="D127" s="105" t="inlineStr">
        <is>
          <t>5/2</t>
        </is>
      </c>
      <c r="E127" s="8" t="inlineStr">
        <is>
          <t>Professor Alejandro is one of my favorite and best professors in Marshall! He is so engaging and incorporated lots of humor into his lectures (which attendance was not mandatory for). It's also evident that he wants his students to do well and holds many office hours for studnets. Would totally take him again. THE GOAT &amp;#128016; [Amazing lectures, Lecture heavy, Accessible outside class]</t>
        </is>
      </c>
    </row>
    <row r="128" hidden="1" outlineLevel="1" ht="60" customHeight="1">
      <c r="A128" s="107" t="inlineStr"/>
      <c r="B128" s="107" t="inlineStr">
        <is>
          <t>2024-12-04</t>
        </is>
      </c>
      <c r="C128" s="107" t="inlineStr">
        <is>
          <t>Not sure yet</t>
        </is>
      </c>
      <c r="D128" s="107" t="inlineStr">
        <is>
          <t>5/1</t>
        </is>
      </c>
      <c r="E128" s="11" t="inlineStr">
        <is>
          <t>Professor Alejandro is awesome. His lecture is inspirational and well-explained. I love the vibe of his class, and the tests are always easy as long as you finish the sample problems. [Amazing lectures, Inspirational, Accessible outside class]</t>
        </is>
      </c>
    </row>
    <row r="129" hidden="1" outlineLevel="1" ht="75" customHeight="1">
      <c r="A129" s="105" t="inlineStr"/>
      <c r="B129" s="105" t="inlineStr">
        <is>
          <t>2024-12-03</t>
        </is>
      </c>
      <c r="C129" s="105" t="inlineStr">
        <is>
          <t>Not sure yet</t>
        </is>
      </c>
      <c r="D129" s="105" t="inlineStr">
        <is>
          <t>5/3</t>
        </is>
      </c>
      <c r="E129" s="8" t="inlineStr">
        <is>
          <t>If you attend classes and office hours, you will understand all concepts. The class isn't too bad especially if you did IB Econ. Just do the homework and practice tests, and you're good. His papers are also not too bad so if you practice well you will do well. [Clear grading criteria, Lots of homework, Accessible outside class]</t>
        </is>
      </c>
    </row>
    <row r="130" hidden="1" outlineLevel="1" ht="75" customHeight="1">
      <c r="A130" s="107" t="inlineStr"/>
      <c r="B130" s="107" t="inlineStr">
        <is>
          <t>2024-11-13</t>
        </is>
      </c>
      <c r="C130" s="107" t="inlineStr">
        <is>
          <t>A</t>
        </is>
      </c>
      <c r="D130" s="107" t="inlineStr">
        <is>
          <t>5/3</t>
        </is>
      </c>
      <c r="E130" s="11" t="inlineStr">
        <is>
          <t>Best 351 prof he's so nice!!! Midterms are exactly like practice tests given. Homework is completion as long as you get half right and he gives you answers in office hours. Don't need to go to class-- he posts lectures and doesn't take attendance. Do the practice problems twice before the 3 tests and you can get an A. 80 or above overall is an A. [Accessible outside class]</t>
        </is>
      </c>
    </row>
    <row r="131" hidden="1" outlineLevel="1" ht="45" customHeight="1">
      <c r="A131" s="105" t="inlineStr"/>
      <c r="B131" s="105" t="inlineStr">
        <is>
          <t>2024-11-13</t>
        </is>
      </c>
      <c r="C131" s="105" t="inlineStr">
        <is>
          <t>Not sure yet</t>
        </is>
      </c>
      <c r="D131" s="105" t="inlineStr">
        <is>
          <t>5/2</t>
        </is>
      </c>
      <c r="E131" s="8" t="inlineStr">
        <is>
          <t>&amp;#128016;&amp;#128016;&amp;#128016;&amp;#128016;&amp;#128016;&amp;#128016;&amp;#128016;&amp;#128016;&amp;#128016;&amp;#128016;&amp;#128016;&amp;#128016;&amp;#128016;&amp;#128016;&amp;#128016;&amp;#128016;&amp;#128016;&amp;#128016;&amp;#128016;&amp;#128016;</t>
        </is>
      </c>
    </row>
    <row r="132" hidden="1" outlineLevel="1" ht="90" customHeight="1">
      <c r="A132" s="107" t="inlineStr"/>
      <c r="B132" s="107" t="inlineStr">
        <is>
          <t>2024-11-11</t>
        </is>
      </c>
      <c r="C132" s="107" t="inlineStr">
        <is>
          <t>-</t>
        </is>
      </c>
      <c r="D132" s="107" t="inlineStr">
        <is>
          <t>5/3</t>
        </is>
      </c>
      <c r="E132" s="11" t="inlineStr">
        <is>
          <t>It's definitely a difficult class and you have to study A LOT for tests, but he holds office hours every day for the entire semester and gives a bunch of practice problems prior to midterms. The homework isn't too bad, but the difficulty of the class is dependent on whether or not you go to lectures. He overall made a difficult class digestible. [Amazing lectures, Lecture heavy, Accessible outside class]</t>
        </is>
      </c>
    </row>
    <row r="133" hidden="1" outlineLevel="1" ht="30" customHeight="1">
      <c r="A133" s="105" t="inlineStr"/>
      <c r="B133" s="105" t="inlineStr">
        <is>
          <t>2024-10-22</t>
        </is>
      </c>
      <c r="C133" s="105" t="inlineStr">
        <is>
          <t>A</t>
        </is>
      </c>
      <c r="D133" s="105" t="inlineStr">
        <is>
          <t>5/3</t>
        </is>
      </c>
      <c r="E133" s="8" t="inlineStr">
        <is>
          <t>Exam questions are very similar to the practice sets he provides. Wants you to do well. [Caring, Test heavy, Graded by few things]</t>
        </is>
      </c>
    </row>
    <row r="134" hidden="1" outlineLevel="1" ht="75" customHeight="1">
      <c r="A134" s="107" t="inlineStr"/>
      <c r="B134" s="107" t="inlineStr">
        <is>
          <t>2024-08-01</t>
        </is>
      </c>
      <c r="C134" s="107" t="inlineStr">
        <is>
          <t>A-</t>
        </is>
      </c>
      <c r="D134" s="107" t="inlineStr">
        <is>
          <t>5/2</t>
        </is>
      </c>
      <c r="E134" s="11" t="inlineStr">
        <is>
          <t>Such a great professor his class is so manageable. I barely went to lecture and never went to office hours and did perfectly fine. Homework is graded very easily and basically every single possible midterm question is provided to you between all the practice sets. Do all the questions and you'll be fine. By far the best choice for 351.</t>
        </is>
      </c>
    </row>
    <row r="135" hidden="1" outlineLevel="1" ht="60" customHeight="1">
      <c r="A135" s="105" t="inlineStr"/>
      <c r="B135" s="105" t="inlineStr">
        <is>
          <t>2024-06-22</t>
        </is>
      </c>
      <c r="C135" s="105" t="inlineStr">
        <is>
          <t>A</t>
        </is>
      </c>
      <c r="D135" s="105" t="inlineStr">
        <is>
          <t>5/3</t>
        </is>
      </c>
      <c r="E135" s="8" t="inlineStr">
        <is>
          <t>Great course if you show up to every lecture and pay attention. Taking notes, reviewing practice problems, and going to office hours when I needed help with certain problems made the class not overly difficult. Great lecturer and cares about his students. Would take him again if I could. [Respected, Lecture heavy]</t>
        </is>
      </c>
    </row>
    <row r="136" hidden="1" outlineLevel="1" ht="45" customHeight="1">
      <c r="A136" s="107" t="inlineStr"/>
      <c r="B136" s="107" t="inlineStr">
        <is>
          <t>2024-06-19</t>
        </is>
      </c>
      <c r="C136" s="107" t="inlineStr">
        <is>
          <t>A-</t>
        </is>
      </c>
      <c r="D136" s="107" t="inlineStr">
        <is>
          <t>5/3</t>
        </is>
      </c>
      <c r="E136" s="11" t="inlineStr">
        <is>
          <t>I never went to his office hours and skipped around 70% of classes and still got a decent grade. He is a good lecturer and grades aren't hard to get. PLEASE do practice questions because exam questions are 80% based on them.</t>
        </is>
      </c>
    </row>
    <row r="137" hidden="1" outlineLevel="1" ht="75" customHeight="1">
      <c r="A137" s="105" t="inlineStr"/>
      <c r="B137" s="105" t="inlineStr">
        <is>
          <t>2024-05-28</t>
        </is>
      </c>
      <c r="C137" s="105" t="inlineStr">
        <is>
          <t>A</t>
        </is>
      </c>
      <c r="D137" s="105" t="inlineStr">
        <is>
          <t>5/2</t>
        </is>
      </c>
      <c r="E137" s="8" t="inlineStr">
        <is>
          <t>Marquina made ECON351 a breeze. His lectures are straightforward, engaging, and explain the material well. Your grade is determined by 3 tests spaced out throughout the semester. They're non-cumulative which is nice. Do the homework and the exam practice sets and you'll get a top grade. [Amazing lectures, Clear grading criteria, Graded by few things]</t>
        </is>
      </c>
    </row>
    <row r="138" hidden="1" outlineLevel="1" ht="75" customHeight="1">
      <c r="A138" s="107" t="inlineStr"/>
      <c r="B138" s="107" t="inlineStr">
        <is>
          <t>2024-05-19</t>
        </is>
      </c>
      <c r="C138" s="107" t="inlineStr">
        <is>
          <t>A</t>
        </is>
      </c>
      <c r="D138" s="107" t="inlineStr">
        <is>
          <t>5/1</t>
        </is>
      </c>
      <c r="E138" s="11" t="inlineStr">
        <is>
          <t>Makes microeconomics easy and provides fun examples for students to engage with. Do the homework and the practice midterms/final he provides to study and you will get an A in this class. Provides really, really helpful office hours for questions on homework and allows test revision. GOATED Marshall professor. [Lots of homework, Test heavy]</t>
        </is>
      </c>
    </row>
    <row r="139" hidden="1" outlineLevel="1" ht="75" customHeight="1">
      <c r="A139" s="105" t="inlineStr"/>
      <c r="B139" s="105" t="inlineStr">
        <is>
          <t>2024-05-10</t>
        </is>
      </c>
      <c r="C139" s="105" t="inlineStr">
        <is>
          <t>A</t>
        </is>
      </c>
      <c r="D139" s="105" t="inlineStr">
        <is>
          <t>5/3</t>
        </is>
      </c>
      <c r="E139" s="8" t="inlineStr">
        <is>
          <t>Great professor, but a fast lecturer. Overall would highly recommend him for Econ 351. The course is graded on only 3 written exams and weekly homework assignments, and as long as you do the practice questions he posts before each exam, they should be quite easy. [Inspirational, Graded by few things, Accessible outside class]</t>
        </is>
      </c>
    </row>
    <row r="140" hidden="1" outlineLevel="1" ht="90" customHeight="1">
      <c r="A140" s="107" t="inlineStr"/>
      <c r="B140" s="107" t="inlineStr">
        <is>
          <t>2024-05-02</t>
        </is>
      </c>
      <c r="C140" s="107" t="inlineStr">
        <is>
          <t>A+</t>
        </is>
      </c>
      <c r="D140" s="107" t="inlineStr">
        <is>
          <t>5/2</t>
        </is>
      </c>
      <c r="E140" s="11" t="inlineStr">
        <is>
          <t>Despite being a new prof, Alejandro is a really engaging and fun lecturer. He's accessible and will help you perform your best in class as long as you put in the work. I love him and would take his classes again. Looking forward to taking his class in my upperclassmen years. Go to office hours before a midterm/final and I guarantee you'll ace them. [Gives good feedback, Caring, Accessible outside class]</t>
        </is>
      </c>
    </row>
    <row r="141" hidden="1" outlineLevel="1" ht="30" customHeight="1">
      <c r="A141" s="105" t="inlineStr"/>
      <c r="B141" s="105" t="inlineStr">
        <is>
          <t>2024-05-02</t>
        </is>
      </c>
      <c r="C141" s="105" t="inlineStr">
        <is>
          <t>A+</t>
        </is>
      </c>
      <c r="D141" s="105" t="inlineStr">
        <is>
          <t>5/3</t>
        </is>
      </c>
      <c r="E141" s="8" t="inlineStr">
        <is>
          <t>351 is a hard class and he's easily the best teacher for it. [Caring, Test heavy, Accessible outside class]</t>
        </is>
      </c>
    </row>
    <row r="142" hidden="1" outlineLevel="1" ht="75" customHeight="1">
      <c r="A142" s="107" t="inlineStr"/>
      <c r="B142" s="107" t="inlineStr">
        <is>
          <t>2024-05-02</t>
        </is>
      </c>
      <c r="C142" s="107" t="inlineStr">
        <is>
          <t>A</t>
        </is>
      </c>
      <c r="D142" s="107" t="inlineStr">
        <is>
          <t>5/3</t>
        </is>
      </c>
      <c r="E142" s="11" t="inlineStr">
        <is>
          <t>Professor Martinez-Marquina was hands-down awesome! He's so caring and easy to talk to if you had concerns about your grade or the course content. Lectures are fast-paced for sure, but his office hours are SO worth it! Overall such an amazing professor! He's super accommodating and wants you to succeed in and out of class. [Amazing lectures, Respected, Accessible outside class]</t>
        </is>
      </c>
    </row>
    <row r="143" hidden="1" outlineLevel="1" ht="45" customHeight="1">
      <c r="A143" s="105" t="inlineStr"/>
      <c r="B143" s="105" t="inlineStr">
        <is>
          <t>2024-04-25</t>
        </is>
      </c>
      <c r="C143" s="105" t="inlineStr">
        <is>
          <t>Not sure yet</t>
        </is>
      </c>
      <c r="D143" s="105" t="inlineStr">
        <is>
          <t>5/3</t>
        </is>
      </c>
      <c r="E143" s="8" t="inlineStr">
        <is>
          <t>Tests are very similar to practice problems, and lectures are easy to follow. If you show up to class it is very manageable! [Amazing lectures, Clear grading criteria, Gives good feedback]</t>
        </is>
      </c>
    </row>
    <row r="144" hidden="1" outlineLevel="1" ht="75" customHeight="1">
      <c r="A144" s="107" t="inlineStr"/>
      <c r="B144" s="107" t="inlineStr">
        <is>
          <t>2024-04-16</t>
        </is>
      </c>
      <c r="C144" s="107" t="inlineStr">
        <is>
          <t>Not sure yet</t>
        </is>
      </c>
      <c r="D144" s="107" t="inlineStr">
        <is>
          <t>5/3</t>
        </is>
      </c>
      <c r="E144" s="11" t="inlineStr">
        <is>
          <t>Econ 351 is probably one of the hardest classes in Marshall. However, Marquina makes the content very much digestable. He's a very caring professor and wants you to understand the topic, and the lengths that he goes to to do so is very respectable. Genuine guy, very fun to talk to and honestly an amazing professor. [Inspirational, Caring, Respected]</t>
        </is>
      </c>
    </row>
    <row r="145" hidden="1" outlineLevel="1" ht="60" customHeight="1">
      <c r="A145" s="105" t="inlineStr"/>
      <c r="B145" s="105" t="inlineStr">
        <is>
          <t>2024-04-15</t>
        </is>
      </c>
      <c r="C145" s="105" t="inlineStr">
        <is>
          <t>A</t>
        </is>
      </c>
      <c r="D145" s="105" t="inlineStr">
        <is>
          <t>5/2</t>
        </is>
      </c>
      <c r="E145" s="8" t="inlineStr">
        <is>
          <t>Literally my favorite professor I've taken so far. I would take ANY class he teaches! He was super accessible and reasonable. He genuinely cared for you to grasp the material, and would often stay late after class or office hours if you needed his help. [Amazing lectures, Respected, Accessible outside class]</t>
        </is>
      </c>
    </row>
    <row r="146" hidden="1" outlineLevel="1" ht="75" customHeight="1">
      <c r="A146" s="107" t="inlineStr"/>
      <c r="B146" s="107" t="inlineStr">
        <is>
          <t>2024-04-02</t>
        </is>
      </c>
      <c r="C146" s="107" t="inlineStr">
        <is>
          <t>A</t>
        </is>
      </c>
      <c r="D146" s="107" t="inlineStr">
        <is>
          <t>5/4</t>
        </is>
      </c>
      <c r="E146" s="11" t="inlineStr">
        <is>
          <t>Yes, lectures are fast paced &amp; the material is difficult. However, Alejandro makes everything manageable. Coming in with no econ experience, I was still able to succeed. To succeed: go to class, read the textbook (its free &amp; really helpful), go to office hours, &amp; do the practice problems (all 3 tests resemble practice problems VERY closely). [Amazing lectures, Gives good feedback, Test heavy]</t>
        </is>
      </c>
    </row>
    <row r="147" hidden="1" outlineLevel="1" ht="30" customHeight="1">
      <c r="A147" s="105" t="inlineStr"/>
      <c r="B147" s="105" t="inlineStr">
        <is>
          <t>2023-10-25</t>
        </is>
      </c>
      <c r="C147" s="105" t="inlineStr">
        <is>
          <t>A</t>
        </is>
      </c>
      <c r="D147" s="105" t="inlineStr">
        <is>
          <t>5/1</t>
        </is>
      </c>
      <c r="E147" s="8" t="inlineStr">
        <is>
          <t>great professor with clear lectures, easy homework and tests [Amazing lectures, Caring, Respected]</t>
        </is>
      </c>
    </row>
    <row r="148" hidden="1" outlineLevel="1" ht="75" customHeight="1">
      <c r="A148" s="107" t="inlineStr"/>
      <c r="B148" s="107" t="inlineStr">
        <is>
          <t>2023-06-21</t>
        </is>
      </c>
      <c r="C148" s="107" t="inlineStr">
        <is>
          <t>A</t>
        </is>
      </c>
      <c r="D148" s="107" t="inlineStr">
        <is>
          <t>5/3</t>
        </is>
      </c>
      <c r="E148" s="11" t="inlineStr">
        <is>
          <t>Take this class +1 !! Prof. Martinez explains the lectures thoroughly, provides real-world examples, and his pace is perfect. He is determined to help students succeed by going above and beyond to provide office hours (especially before exams) and exam review/revision afterward. Test-heavy, but the content is relevant to lectures and homework. [Amazing lectures, Caring, Accessible outside class]</t>
        </is>
      </c>
    </row>
    <row r="149" hidden="1" outlineLevel="1" ht="75" customHeight="1">
      <c r="A149" s="105" t="inlineStr"/>
      <c r="B149" s="105" t="inlineStr">
        <is>
          <t>2023-05-26</t>
        </is>
      </c>
      <c r="C149" s="105" t="inlineStr">
        <is>
          <t>B</t>
        </is>
      </c>
      <c r="D149" s="105" t="inlineStr">
        <is>
          <t>5/5</t>
        </is>
      </c>
      <c r="E149" s="8" t="inlineStr">
        <is>
          <t>Amazing professor who truly wants his students to learn and succeed. Grading: 90% from 3 exams, 10% from HW. Thought this course was a very quantitative, fast-paced, and difficult class to get adjusted to. I struggling at first as I failed (D+) both midterm 1 and midterm 2 (post-curve). Got an A on the final exam (post-curve). Ended with a B. [Clear grading criteria, Caring, Graded by few things]</t>
        </is>
      </c>
    </row>
    <row r="150" hidden="1" outlineLevel="1" ht="60" customHeight="1">
      <c r="A150" s="107" t="inlineStr"/>
      <c r="B150" s="107" t="inlineStr">
        <is>
          <t>2023-05-09</t>
        </is>
      </c>
      <c r="C150" s="107" t="inlineStr">
        <is>
          <t>Not sure yet</t>
        </is>
      </c>
      <c r="D150" s="107" t="inlineStr">
        <is>
          <t>5/3</t>
        </is>
      </c>
      <c r="E150" s="11" t="inlineStr">
        <is>
          <t>He's a really caring and understanding professor. Although Econ 351 itself can be tough, he makes the lectures engaging and tries his best to help us understand. Doing the homework and practice chapter samples are really helpful for the tests! [Clear grading criteria, Gives good feedback, Caring]</t>
        </is>
      </c>
    </row>
    <row r="151" hidden="1" outlineLevel="1" ht="90" customHeight="1">
      <c r="A151" s="105" t="inlineStr"/>
      <c r="B151" s="105" t="inlineStr">
        <is>
          <t>2023-05-06</t>
        </is>
      </c>
      <c r="C151" s="105" t="inlineStr">
        <is>
          <t>-</t>
        </is>
      </c>
      <c r="D151" s="105" t="inlineStr">
        <is>
          <t>5/4</t>
        </is>
      </c>
      <c r="E151" s="8" t="inlineStr">
        <is>
          <t>Professor Marquina is a very kind and sweet guy. You can tell he genuinely cares for his students, he consistently gave extra office hours and met with me 1-on-1 after my poor 2nd midterm performance, encouraged and strategized with me on how I could improve. 2 midterms &amp; 1 final, very challenging course content. Get ready to put in the work [Caring, Graded by few things, Accessible outside class]</t>
        </is>
      </c>
    </row>
    <row r="152" hidden="1" outlineLevel="1" ht="75" customHeight="1">
      <c r="A152" s="107" t="inlineStr"/>
      <c r="B152" s="107" t="inlineStr">
        <is>
          <t>2023-04-26</t>
        </is>
      </c>
      <c r="C152" s="107" t="inlineStr">
        <is>
          <t>A</t>
        </is>
      </c>
      <c r="D152" s="107" t="inlineStr">
        <is>
          <t>5/2</t>
        </is>
      </c>
      <c r="E152" s="11" t="inlineStr">
        <is>
          <t>Take this class!!!!!!! He is such a nice guy and is always willing to meet with students, whether that means just re explaining something after class, holding office hours, or scheduling 1 on 1 time to meet with you and talk through questions or go over tests. If you pay any attention in the lectures you won't have any trouble.</t>
        </is>
      </c>
    </row>
    <row r="153" hidden="1" outlineLevel="1" ht="75" customHeight="1">
      <c r="A153" s="105" t="inlineStr"/>
      <c r="B153" s="105" t="inlineStr">
        <is>
          <t>2023-04-26</t>
        </is>
      </c>
      <c r="C153" s="105" t="inlineStr">
        <is>
          <t>A</t>
        </is>
      </c>
      <c r="D153" s="105" t="inlineStr">
        <is>
          <t>5/3</t>
        </is>
      </c>
      <c r="E153" s="8" t="inlineStr">
        <is>
          <t>Prof. Martinez is a fairly new professor, but he's one of the best I've had. Although the course is decently tough, if you took AP Econ in Highschool, you'll be fine. Otherwise, he provides very good lectures and is very accessible if you have questions. The hw is harder than the tests, and the practice problems are identical/very similar to tests.</t>
        </is>
      </c>
    </row>
    <row r="154" hidden="1" outlineLevel="1" ht="75" customHeight="1">
      <c r="A154" s="107" t="inlineStr"/>
      <c r="B154" s="107" t="inlineStr">
        <is>
          <t>2023-04-06</t>
        </is>
      </c>
      <c r="C154" s="107" t="inlineStr">
        <is>
          <t>-</t>
        </is>
      </c>
      <c r="D154" s="107" t="inlineStr">
        <is>
          <t>5/3</t>
        </is>
      </c>
      <c r="E154" s="11" t="inlineStr">
        <is>
          <t>Despite the difficulty of Micro, Professor Martinez-Marquina's lectures are engaging, practical, and interactive. He emphasizes building intuition to see the world from a different perspective and is readily available for support outside of class. Professor Martinez-Marquina's passion and expertise in the subject matter further enrich his lectures. [Amazing lectures, Inspirational, Respected]</t>
        </is>
      </c>
    </row>
    <row r="155" hidden="1" outlineLevel="1" ht="60" customHeight="1">
      <c r="A155" s="105" t="inlineStr"/>
      <c r="B155" s="105" t="inlineStr">
        <is>
          <t>2023-04-06</t>
        </is>
      </c>
      <c r="C155" s="105" t="inlineStr">
        <is>
          <t>A</t>
        </is>
      </c>
      <c r="D155" s="105" t="inlineStr">
        <is>
          <t>5/4</t>
        </is>
      </c>
      <c r="E155" s="8" t="inlineStr">
        <is>
          <t>Thought he was going to be hard since he was new, but ended up being one of the most chill professors I've had. Makes homework harder than the exams, but uses examples similar to slides. Keeps lectures entertaining. [Amazing lectures, Caring]</t>
        </is>
      </c>
    </row>
    <row r="156" hidden="1" outlineLevel="1" ht="75" customHeight="1">
      <c r="A156" s="107" t="inlineStr"/>
      <c r="B156" s="107" t="inlineStr">
        <is>
          <t>2023-04-05</t>
        </is>
      </c>
      <c r="C156" s="107" t="inlineStr">
        <is>
          <t>Incomplete</t>
        </is>
      </c>
      <c r="D156" s="107" t="inlineStr">
        <is>
          <t>5/5</t>
        </is>
      </c>
      <c r="E156" s="11" t="inlineStr">
        <is>
          <t>The hardest class at usc, but he makes it worth it. Great professor overall - willing to work with students to help with exams and understanding the material. His lectures go by very fast, and his accent can be hard to understand at first. Go to office hours, read the textbook, pay attention and go to every single class...and maybe you'll pass. [Caring, Test heavy, Accessible outside class]</t>
        </is>
      </c>
    </row>
    <row r="157" hidden="1" outlineLevel="1" ht="75" customHeight="1">
      <c r="A157" s="104" t="inlineStr">
        <is>
          <t>JS-310</t>
        </is>
      </c>
      <c r="B157" s="105" t="inlineStr">
        <is>
          <t>2026-04-29</t>
        </is>
      </c>
      <c r="C157" s="105" t="inlineStr">
        <is>
          <t>A</t>
        </is>
      </c>
      <c r="D157" s="105" t="inlineStr">
        <is>
          <t>5/2</t>
        </is>
      </c>
      <c r="E157" s="8" t="inlineStr">
        <is>
          <t>Professor Brylak's SLL-310 is one of the best classes you can take for GE credit. Lectures are extremely engaging and based on the weekly readings, which can be a bit dense but are pretty chill as long as you do them consistently. Grades are based on weekly reading quizzes (very easy) and oral presentations that are honestly pretty fun. Take him! [Get ready to read, Hilarious, Caring]</t>
        </is>
      </c>
    </row>
    <row r="158" hidden="1" outlineLevel="1" ht="45" customHeight="1">
      <c r="A158" s="107" t="inlineStr"/>
      <c r="B158" s="107" t="inlineStr">
        <is>
          <t>2025-12-03</t>
        </is>
      </c>
      <c r="C158" s="107" t="inlineStr">
        <is>
          <t>A+</t>
        </is>
      </c>
      <c r="D158" s="107" t="inlineStr">
        <is>
          <t>5/1</t>
        </is>
      </c>
      <c r="E158" s="11" t="inlineStr">
        <is>
          <t>I love him; he is truly the best. He is so passionate about what he teaches, and he cares for every single student. I recommend him to ANY and EVERYONE. [Inspirational, Hilarious, Caring]</t>
        </is>
      </c>
    </row>
    <row r="159" hidden="1" outlineLevel="1" ht="75" customHeight="1">
      <c r="A159" s="105" t="inlineStr"/>
      <c r="B159" s="105" t="inlineStr">
        <is>
          <t>2024-12-17</t>
        </is>
      </c>
      <c r="C159" s="105" t="inlineStr">
        <is>
          <t>A</t>
        </is>
      </c>
      <c r="D159" s="105" t="inlineStr">
        <is>
          <t>4/1</t>
        </is>
      </c>
      <c r="E159" s="8" t="inlineStr">
        <is>
          <t>Had Prof Brylak for SLL 310! Very funny guy but sometimes goes off on confusing tangents. Weekly reading quizzes are very easy, and you honestly don't really have to do the reading to do the quizzes. Also had 2 pretty long papers, and the instructions those were not very clear. Overall, interesting class and he is very knowledgeable and caring! [Get ready to read, Hilarious]</t>
        </is>
      </c>
    </row>
    <row r="160" hidden="1" outlineLevel="1" ht="90" customHeight="1">
      <c r="A160" s="107" t="inlineStr"/>
      <c r="B160" s="107" t="inlineStr">
        <is>
          <t>2024-05-22</t>
        </is>
      </c>
      <c r="C160" s="107" t="inlineStr">
        <is>
          <t>A</t>
        </is>
      </c>
      <c r="D160" s="107" t="inlineStr">
        <is>
          <t>5/1</t>
        </is>
      </c>
      <c r="E160" s="11" t="inlineStr">
        <is>
          <t>Cannot recommend prof Brylak more! He is truly an intelligent, caring, and overall amazing teacher. He somehow always has a tidbit of knowledge for whatever tangents we go on and is fantastic at facilitating discussion. He's so engaging, a great presence and I'm very happy I took his class. Assigns ~75-100 pg/week but is a very nice grader! [Get ready to read, Participation matters, Amazing lectures]</t>
        </is>
      </c>
    </row>
    <row r="161" hidden="1" outlineLevel="1" ht="60" customHeight="1">
      <c r="A161" s="105" t="inlineStr"/>
      <c r="B161" s="105" t="inlineStr">
        <is>
          <t>2024-05-15</t>
        </is>
      </c>
      <c r="C161" s="105" t="inlineStr">
        <is>
          <t>A</t>
        </is>
      </c>
      <c r="D161" s="105" t="inlineStr">
        <is>
          <t>5/2</t>
        </is>
      </c>
      <c r="E161" s="8" t="inlineStr">
        <is>
          <t>One of my most fun classes in college. Professor Brylak is energetic, hilarious, and very interesting. The assigned reading and videos are usually interesting. Read and watch them so you do not miss out. His assigned papers are vague, but he is not a difficult grader. [Get ready to read, Lots of homework, Hilarious]</t>
        </is>
      </c>
    </row>
    <row r="162" hidden="1" outlineLevel="1" ht="75" customHeight="1">
      <c r="A162" s="107" t="inlineStr"/>
      <c r="B162" s="107" t="inlineStr">
        <is>
          <t>2024-02-13</t>
        </is>
      </c>
      <c r="C162" s="107" t="inlineStr">
        <is>
          <t>A</t>
        </is>
      </c>
      <c r="D162" s="107" t="inlineStr">
        <is>
          <t>5/2</t>
        </is>
      </c>
      <c r="E162" s="11" t="inlineStr">
        <is>
          <t>I cannot love this class more!!! Highly recommended!!! Instead of lecturing by himself, he prepares guiding questions for us to discuss and follow our thoughts to deepen in the direction. He is very knowledgeable to answer all of the unexpected tangent questions. A lot of reading but it's worth it, test and final paper are easy. [Get ready to read, Amazing lectures, Caring]</t>
        </is>
      </c>
    </row>
    <row r="163" hidden="1" outlineLevel="1" ht="75" customHeight="1">
      <c r="A163" s="105" t="inlineStr"/>
      <c r="B163" s="105" t="inlineStr">
        <is>
          <t>2023-11-04</t>
        </is>
      </c>
      <c r="C163" s="105" t="inlineStr">
        <is>
          <t>A+</t>
        </is>
      </c>
      <c r="D163" s="105" t="inlineStr">
        <is>
          <t>5/1</t>
        </is>
      </c>
      <c r="E163" s="8" t="inlineStr">
        <is>
          <t>I took his Easter European Apocalyptic and Post-Apocalyptic Fiction course, and I would highly recommend it. His class is very entertaining and is open to a lot of fun conversation. I had to read around a hundred pages a week and write one page a week, but the weekly papers are graded on completion. [Get ready to read, Amazing lectures, Caring]</t>
        </is>
      </c>
    </row>
    <row r="164" hidden="1" outlineLevel="1" ht="75" customHeight="1">
      <c r="A164" s="107" t="inlineStr"/>
      <c r="B164" s="107" t="inlineStr">
        <is>
          <t>2022-05-21</t>
        </is>
      </c>
      <c r="C164" s="107" t="inlineStr">
        <is>
          <t>A</t>
        </is>
      </c>
      <c r="D164" s="107" t="inlineStr">
        <is>
          <t>5/2</t>
        </is>
      </c>
      <c r="E164" s="11" t="inlineStr">
        <is>
          <t>I really enjoyed Professor Brylak's lectures, they were very interesting and I learned a lot from him. We had to read around 100 pages each week and write a one page response paper, but other than that, he is a very easy grader and it made my seminar experience very chill and fun. Take his gesm even if you have no background on the subject! [Participation matters, Amazing lectures, Caring]</t>
        </is>
      </c>
    </row>
    <row r="165" hidden="1" outlineLevel="1" ht="30" customHeight="1">
      <c r="A165" s="105" t="inlineStr"/>
      <c r="B165" s="105" t="inlineStr">
        <is>
          <t>2022-05-13</t>
        </is>
      </c>
      <c r="C165" s="105" t="inlineStr">
        <is>
          <t>A</t>
        </is>
      </c>
      <c r="D165" s="105" t="inlineStr">
        <is>
          <t>5/2</t>
        </is>
      </c>
      <c r="E165" s="8" t="inlineStr">
        <is>
          <t>Professor Brylak knows his stuff and is a very easy grader. [Amazing lectures, Clear grading criteria, Caring]</t>
        </is>
      </c>
    </row>
    <row r="166" hidden="1" outlineLevel="1" ht="75" customHeight="1">
      <c r="A166" s="107" t="inlineStr"/>
      <c r="B166" s="107" t="inlineStr">
        <is>
          <t>2022-04-28</t>
        </is>
      </c>
      <c r="C166" s="107" t="inlineStr">
        <is>
          <t>A+</t>
        </is>
      </c>
      <c r="D166" s="107" t="inlineStr">
        <is>
          <t>5/1</t>
        </is>
      </c>
      <c r="E166" s="11" t="inlineStr">
        <is>
          <t>The professor is very passionate about the class, so it is very refreshing to see enthusiasm about the topic. The class itself seems very difficult when looking at the name of the class, but it is actually very interesting and easy. Because the professor is an easy grader, I would consider this class stress-free, interesting, and an easy A. [Get ready to read, Respected, Accessible outside class]</t>
        </is>
      </c>
    </row>
    <row r="167" hidden="1" outlineLevel="1" ht="45" customHeight="1">
      <c r="A167" s="105" t="inlineStr"/>
      <c r="B167" s="105" t="inlineStr">
        <is>
          <t>2021-12-10</t>
        </is>
      </c>
      <c r="C167" s="105" t="inlineStr">
        <is>
          <t>-</t>
        </is>
      </c>
      <c r="D167" s="105" t="inlineStr">
        <is>
          <t>5/2</t>
        </is>
      </c>
      <c r="E167" s="8" t="inlineStr">
        <is>
          <t>Great professor! His lectures have a lot of tangents but he's very passionate about the subject so it makes it engaging. A decent amount of reading but easy grading and overall not too much work - a good GESM to take.</t>
        </is>
      </c>
    </row>
    <row r="168" hidden="1" outlineLevel="1" ht="30" customHeight="1">
      <c r="A168" s="107" t="inlineStr"/>
      <c r="B168" s="107" t="inlineStr">
        <is>
          <t>2021-12-02</t>
        </is>
      </c>
      <c r="C168" s="107" t="inlineStr">
        <is>
          <t>A</t>
        </is>
      </c>
      <c r="D168" s="107" t="inlineStr">
        <is>
          <t>5/2</t>
        </is>
      </c>
      <c r="E168" s="11" t="inlineStr">
        <is>
          <t>Genuinely a sweetheart and loves his classes [Amazing lectures, Lecture heavy, Caring]</t>
        </is>
      </c>
    </row>
    <row r="169" hidden="1" outlineLevel="1" ht="75" customHeight="1">
      <c r="A169" s="106" t="inlineStr">
        <is>
          <t>SPAN-290</t>
        </is>
      </c>
      <c r="B169" s="107" t="inlineStr">
        <is>
          <t>2026-07-13</t>
        </is>
      </c>
      <c r="C169" s="107" t="inlineStr">
        <is>
          <t>A</t>
        </is>
      </c>
      <c r="D169" s="107" t="inlineStr">
        <is>
          <t>5/2</t>
        </is>
      </c>
      <c r="E169" s="11" t="inlineStr">
        <is>
          <t>Prof. Steinberg was engaging during lectures. We were assigned 2 readings per week, and I still passed the class by only attending lectures (no reading). If you follow along in class and take good notes, and refer to the slides him and the TAs post, you'll be in for an easy A and learn a ton! [Get ready to read, Amazing lectures, Hilarious]</t>
        </is>
      </c>
    </row>
    <row r="170" hidden="1" outlineLevel="1" ht="60" customHeight="1">
      <c r="A170" s="105" t="inlineStr"/>
      <c r="B170" s="105" t="inlineStr">
        <is>
          <t>2024-05-18</t>
        </is>
      </c>
      <c r="C170" s="105" t="inlineStr">
        <is>
          <t>A</t>
        </is>
      </c>
      <c r="D170" s="105" t="inlineStr">
        <is>
          <t>5/2</t>
        </is>
      </c>
      <c r="E170" s="8" t="inlineStr">
        <is>
          <t>Be prepared to share a little bit in class about the readings - even if you don't read them. The class was fairly easy, involved some in-class reading quizzes and weekly assignments, but nothing too bad. One in-class midterm and take home final. Somewhat approachable, but overall easy grader.</t>
        </is>
      </c>
    </row>
    <row r="171" hidden="1" outlineLevel="1" ht="75" customHeight="1">
      <c r="A171" s="107" t="inlineStr"/>
      <c r="B171" s="107" t="inlineStr">
        <is>
          <t>2020-12-16</t>
        </is>
      </c>
      <c r="C171" s="107" t="inlineStr">
        <is>
          <t>-</t>
        </is>
      </c>
      <c r="D171" s="107" t="inlineStr">
        <is>
          <t>5/4</t>
        </is>
      </c>
      <c r="E171" s="11" t="inlineStr">
        <is>
          <t>hands down one of the best professors in the Spanish department. there's a ton of reading but it's worth it; fantastic curation of books, lectures are brilliant and his dry and subtle sense of humor keeps you engaged and laughing. all around wholesome fun that leaves you wishing covid was over so you could take it in person [Gives good feedback, Get ready to read, Hilarious]</t>
        </is>
      </c>
    </row>
    <row r="172" hidden="1" outlineLevel="1" ht="45" customHeight="1">
      <c r="A172" s="105" t="inlineStr"/>
      <c r="B172" s="105" t="inlineStr">
        <is>
          <t>2017-01-11</t>
        </is>
      </c>
      <c r="C172" s="105" t="inlineStr">
        <is>
          <t>A-</t>
        </is>
      </c>
      <c r="D172" s="105" t="inlineStr">
        <is>
          <t>4/2</t>
        </is>
      </c>
      <c r="E172" s="8" t="inlineStr">
        <is>
          <t>He's great and speaks perfect Spanish. He isn't harsh if you don't speak perfectly or know every word. He grades pretty easily and I'm surprised I didn't get a solid A. Overall, would take him again. [GROUP PROJECTS]</t>
        </is>
      </c>
    </row>
    <row r="173" hidden="1" outlineLevel="1" ht="60" customHeight="1">
      <c r="A173" s="107" t="inlineStr"/>
      <c r="B173" s="107" t="inlineStr">
        <is>
          <t>2016-12-15</t>
        </is>
      </c>
      <c r="C173" s="107" t="inlineStr">
        <is>
          <t>A</t>
        </is>
      </c>
      <c r="D173" s="107" t="inlineStr">
        <is>
          <t>5/2</t>
        </is>
      </c>
      <c r="E173" s="11" t="inlineStr">
        <is>
          <t>A lot of reading (books), but lectures are very interesting. He is well-read and knows a lot of literature. Two papers and one presentation but he's an easy grader. Be prepared to discuss the books. [Get ready to read, Hilarious, Amazing lectures]</t>
        </is>
      </c>
    </row>
    <row r="174" hidden="1" outlineLevel="1" ht="60" customHeight="1">
      <c r="A174" s="105" t="inlineStr"/>
      <c r="B174" s="105" t="inlineStr">
        <is>
          <t>2016-04-22</t>
        </is>
      </c>
      <c r="C174" s="105" t="inlineStr">
        <is>
          <t>B</t>
        </is>
      </c>
      <c r="D174" s="105" t="inlineStr">
        <is>
          <t>2/1</t>
        </is>
      </c>
      <c r="E174" s="8" t="inlineStr">
        <is>
          <t>Professor Steinberg is an amazing person and instructor he allows you to voice your opinions but also leads you along the way. He assigns alot of reading but it is totally worth it. Lectures are a must and participation is required but the hard work is worth the trouble.</t>
        </is>
      </c>
    </row>
    <row r="175" hidden="1" outlineLevel="1"/>
    <row r="176" hidden="1" outlineLevel="1">
      <c r="A176" s="91" t="inlineStr">
        <is>
          <t>RMP data as of 2026-08-30. Source: ratemyprofessors.com. Avg reviewer grade = mean of self-reported letter grades (4.0 scale); not all reviewers report a grade.</t>
        </is>
      </c>
    </row>
    <row r="178" ht="28" customHeight="1">
      <c r="A178" s="4" t="inlineStr">
        <is>
          <t>Connect prep (e.g. BUAD-304 Personal Assessments) is ungraded class prep - not part of Participation or other graded categories.</t>
        </is>
      </c>
    </row>
    <row r="179" ht="32" customHeight="1">
      <c r="A179" s="5" t="inlineStr">
        <is>
          <t>Start here (graded): 2026-09-04 - ECON-351 - Homework: Homework 1 (Chapter 4) — Brightspace, due 11:59 pm</t>
        </is>
      </c>
    </row>
    <row r="181">
      <c r="A181" s="6" t="inlineStr">
        <is>
          <t>Class</t>
        </is>
      </c>
      <c r="B181" s="6" t="inlineStr">
        <is>
          <t>Reading</t>
        </is>
      </c>
      <c r="C181" s="6" t="inlineStr">
        <is>
          <t>Homework</t>
        </is>
      </c>
      <c r="D181" s="6" t="inlineStr">
        <is>
          <t>Papers</t>
        </is>
      </c>
      <c r="E181" s="6" t="inlineStr">
        <is>
          <t>Group Project</t>
        </is>
      </c>
      <c r="F181" s="6" t="inlineStr">
        <is>
          <t>External certs</t>
        </is>
      </c>
      <c r="G181" s="6" t="inlineStr">
        <is>
          <t>Connect prep</t>
        </is>
      </c>
      <c r="H181" s="6" t="inlineStr">
        <is>
          <t>First assignment</t>
        </is>
      </c>
      <c r="I181" s="6" t="inlineStr">
        <is>
          <t>Assign due</t>
        </is>
      </c>
      <c r="J181" s="6" t="inlineStr">
        <is>
          <t>First major</t>
        </is>
      </c>
      <c r="K181" s="6" t="inlineStr">
        <is>
          <t>Major due</t>
        </is>
      </c>
    </row>
    <row r="182">
      <c r="A182" s="7">
        <f>HYPERLINK("#'ANTH-202'!A1","ANTH-202")</f>
        <v/>
      </c>
      <c r="B182" s="8" t="inlineStr">
        <is>
          <t>-</t>
        </is>
      </c>
      <c r="C182" s="8" t="inlineStr">
        <is>
          <t>Yes</t>
        </is>
      </c>
      <c r="D182" s="8" t="inlineStr">
        <is>
          <t>Final Paper</t>
        </is>
      </c>
      <c r="E182" s="8" t="inlineStr">
        <is>
          <t>-</t>
        </is>
      </c>
      <c r="F182" s="8" t="inlineStr">
        <is>
          <t>-</t>
        </is>
      </c>
      <c r="G182" s="8" t="inlineStr">
        <is>
          <t>-</t>
        </is>
      </c>
      <c r="H182" s="8" t="inlineStr">
        <is>
          <t>Week 2 quiz — Welcome! Course overview &amp; instructor int</t>
        </is>
      </c>
      <c r="I182" s="8" t="inlineStr">
        <is>
          <t>2026-09-04</t>
        </is>
      </c>
      <c r="J182" s="8" t="inlineStr">
        <is>
          <t>Research Design Worksheet 1 (Topic) — submit via Bright</t>
        </is>
      </c>
      <c r="K182" s="8" t="inlineStr">
        <is>
          <t>2026-09-25</t>
        </is>
      </c>
    </row>
    <row r="183">
      <c r="A183" s="10">
        <f>HYPERLINK("#'BUAD-281'!A1","BUAD-281")</f>
        <v/>
      </c>
      <c r="B183" s="11" t="inlineStr">
        <is>
          <t>Yes</t>
        </is>
      </c>
      <c r="C183" s="11" t="inlineStr">
        <is>
          <t>Yes</t>
        </is>
      </c>
      <c r="D183" s="11" t="inlineStr">
        <is>
          <t>-</t>
        </is>
      </c>
      <c r="E183" s="11" t="inlineStr">
        <is>
          <t>-</t>
        </is>
      </c>
      <c r="F183" s="248" t="inlineStr">
        <is>
          <t>LinkedIn Learning Excel Certification, Stukent Simternship</t>
        </is>
      </c>
      <c r="G183" s="11" t="inlineStr">
        <is>
          <t>-</t>
        </is>
      </c>
      <c r="H183" s="11" t="inlineStr">
        <is>
          <t>Class 5 (9/9) - 2-29, 2-30, 2-40; 15 Points</t>
        </is>
      </c>
      <c r="I183" s="11" t="inlineStr">
        <is>
          <t>2026-09-09</t>
        </is>
      </c>
      <c r="J183" s="11" t="inlineStr">
        <is>
          <t>Midterm 1</t>
        </is>
      </c>
      <c r="K183" s="11" t="inlineStr">
        <is>
          <t>2026-09-30</t>
        </is>
      </c>
    </row>
    <row r="184">
      <c r="A184" s="7">
        <f>HYPERLINK("#'BUAD-304'!A1","BUAD-304")</f>
        <v/>
      </c>
      <c r="B184" s="8" t="inlineStr">
        <is>
          <t>-</t>
        </is>
      </c>
      <c r="C184" s="8" t="inlineStr">
        <is>
          <t>Yes</t>
        </is>
      </c>
      <c r="D184" s="8" t="inlineStr">
        <is>
          <t>Final Reflection Paper, Team Project Paper</t>
        </is>
      </c>
      <c r="E184" s="8" t="inlineStr">
        <is>
          <t>Yes</t>
        </is>
      </c>
      <c r="F184" s="8" t="inlineStr">
        <is>
          <t>-</t>
        </is>
      </c>
      <c r="G184" s="249" t="inlineStr">
        <is>
          <t>Ungraded prep</t>
        </is>
      </c>
      <c r="H184" s="8" t="inlineStr">
        <is>
          <t>Connect: Sharpen Companion</t>
        </is>
      </c>
      <c r="I184" s="8" t="inlineStr">
        <is>
          <t>2026-09-04</t>
        </is>
      </c>
      <c r="J184" s="8" t="inlineStr">
        <is>
          <t>Thomas Green Case Analysis Memo</t>
        </is>
      </c>
      <c r="K184" s="8" t="inlineStr">
        <is>
          <t>2026-09-16</t>
        </is>
      </c>
    </row>
    <row r="185">
      <c r="A185" s="10">
        <f>HYPERLINK("#'ECON-351'!A1","ECON-351")</f>
        <v/>
      </c>
      <c r="B185" s="11" t="inlineStr">
        <is>
          <t>Yes</t>
        </is>
      </c>
      <c r="C185" s="11" t="inlineStr">
        <is>
          <t>Yes</t>
        </is>
      </c>
      <c r="D185" s="11" t="inlineStr">
        <is>
          <t>-</t>
        </is>
      </c>
      <c r="E185" s="11" t="inlineStr">
        <is>
          <t>-</t>
        </is>
      </c>
      <c r="F185" s="11" t="inlineStr">
        <is>
          <t>-</t>
        </is>
      </c>
      <c r="G185" s="11" t="inlineStr">
        <is>
          <t>-</t>
        </is>
      </c>
      <c r="H185" s="11" t="inlineStr">
        <is>
          <t>Homework 1 (Chapter 4) — Brightspace, due 11:59 pm</t>
        </is>
      </c>
      <c r="I185" s="11" t="inlineStr">
        <is>
          <t>2026-09-04</t>
        </is>
      </c>
      <c r="J185" s="11" t="inlineStr">
        <is>
          <t>First midterm exam</t>
        </is>
      </c>
      <c r="K185" s="11" t="inlineStr">
        <is>
          <t>2026-09-14</t>
        </is>
      </c>
    </row>
    <row r="186">
      <c r="A186" s="7">
        <f>HYPERLINK("#'HIST-103'!A1","HIST-103")</f>
        <v/>
      </c>
      <c r="B186" s="8" t="inlineStr">
        <is>
          <t>Yes</t>
        </is>
      </c>
      <c r="C186" s="8" t="inlineStr">
        <is>
          <t>-</t>
        </is>
      </c>
      <c r="D186" s="8" t="inlineStr">
        <is>
          <t>Sleep Paper, Witchcraft Paper</t>
        </is>
      </c>
      <c r="E186" s="8" t="inlineStr">
        <is>
          <t>Yes</t>
        </is>
      </c>
      <c r="F186" s="8" t="inlineStr">
        <is>
          <t>-</t>
        </is>
      </c>
      <c r="G186" s="8" t="inlineStr">
        <is>
          <t>-</t>
        </is>
      </c>
      <c r="H186" s="8" t="inlineStr">
        <is>
          <t>Sleep Paper Due</t>
        </is>
      </c>
      <c r="I186" s="8" t="inlineStr">
        <is>
          <t>2026-09-15</t>
        </is>
      </c>
      <c r="J186" s="8" t="inlineStr">
        <is>
          <t>Sleep Paper</t>
        </is>
      </c>
      <c r="K186" s="8" t="inlineStr">
        <is>
          <t>2026-09-15</t>
        </is>
      </c>
    </row>
    <row r="187">
      <c r="A187" s="10">
        <f>HYPERLINK("#'JS-310'!A1","JS-310")</f>
        <v/>
      </c>
      <c r="B187" s="11" t="inlineStr">
        <is>
          <t>-</t>
        </is>
      </c>
      <c r="C187" s="11" t="inlineStr">
        <is>
          <t>Yes</t>
        </is>
      </c>
      <c r="D187" s="11" t="inlineStr">
        <is>
          <t>-</t>
        </is>
      </c>
      <c r="E187" s="11" t="inlineStr">
        <is>
          <t>-</t>
        </is>
      </c>
      <c r="F187" s="11" t="inlineStr">
        <is>
          <t>-</t>
        </is>
      </c>
      <c r="G187" s="11" t="inlineStr">
        <is>
          <t>-</t>
        </is>
      </c>
      <c r="H187" s="11" t="inlineStr">
        <is>
          <t>-</t>
        </is>
      </c>
      <c r="I187" s="11" t="inlineStr">
        <is>
          <t>-</t>
        </is>
      </c>
      <c r="J187" s="11" t="inlineStr">
        <is>
          <t>-</t>
        </is>
      </c>
      <c r="K187" s="11" t="inlineStr">
        <is>
          <t>-</t>
        </is>
      </c>
    </row>
    <row r="188">
      <c r="A188" s="7">
        <f>HYPERLINK("#'SPAN-290'!A1","SPAN-290")</f>
        <v/>
      </c>
      <c r="B188" s="8" t="inlineStr">
        <is>
          <t>Yes</t>
        </is>
      </c>
      <c r="C188" s="8" t="inlineStr">
        <is>
          <t>-</t>
        </is>
      </c>
      <c r="D188" s="8" t="inlineStr">
        <is>
          <t>-</t>
        </is>
      </c>
      <c r="E188" s="8" t="inlineStr">
        <is>
          <t>-</t>
        </is>
      </c>
      <c r="F188" s="8" t="inlineStr">
        <is>
          <t>-</t>
        </is>
      </c>
      <c r="G188" s="8" t="inlineStr">
        <is>
          <t>-</t>
        </is>
      </c>
      <c r="H188" s="8" t="inlineStr">
        <is>
          <t>Essay 1</t>
        </is>
      </c>
      <c r="I188" s="8" t="inlineStr">
        <is>
          <t>2026-09-18</t>
        </is>
      </c>
      <c r="J188" s="8" t="inlineStr">
        <is>
          <t>Essay 1</t>
        </is>
      </c>
      <c r="K188" s="8" t="inlineStr">
        <is>
          <t>2026-09-18</t>
        </is>
      </c>
    </row>
    <row r="190">
      <c r="A190" s="13" t="inlineStr">
        <is>
          <t>Do First - August 2026 - graded assignments (first per class always listed)</t>
        </is>
      </c>
    </row>
    <row r="191">
      <c r="A191" s="14" t="inlineStr">
        <is>
          <t>Due</t>
        </is>
      </c>
      <c r="B191" s="14" t="inlineStr">
        <is>
          <t>Class</t>
        </is>
      </c>
      <c r="C191" s="14" t="inlineStr">
        <is>
          <t>Type</t>
        </is>
      </c>
      <c r="D191" s="14" t="inlineStr">
        <is>
          <t>Graded?</t>
        </is>
      </c>
      <c r="E191" s="14" t="inlineStr">
        <is>
          <t>Item</t>
        </is>
      </c>
    </row>
    <row r="192">
      <c r="A192" s="8" t="inlineStr">
        <is>
          <t>2026-09-04</t>
        </is>
      </c>
      <c r="B192" s="8" t="inlineStr">
        <is>
          <t>ECON-351</t>
        </is>
      </c>
      <c r="C192" s="15" t="inlineStr">
        <is>
          <t>Homework</t>
        </is>
      </c>
      <c r="D192" s="8" t="inlineStr">
        <is>
          <t>Yes</t>
        </is>
      </c>
      <c r="E192" s="8" t="inlineStr">
        <is>
          <t>Homework 1 (Chapter 4) — Brightspace, due 11:59 pm</t>
        </is>
      </c>
    </row>
    <row r="193">
      <c r="A193" s="11" t="inlineStr">
        <is>
          <t>2026-09-04</t>
        </is>
      </c>
      <c r="B193" s="11" t="inlineStr">
        <is>
          <t>ANTH-202</t>
        </is>
      </c>
      <c r="C193" s="46" t="inlineStr">
        <is>
          <t>Homework</t>
        </is>
      </c>
      <c r="D193" s="11" t="inlineStr">
        <is>
          <t>Yes</t>
        </is>
      </c>
      <c r="E193" s="11" t="inlineStr">
        <is>
          <t>Week 2 quiz — Welcome! Course overview &amp; instructor introduction. (due Fri 7pm B</t>
        </is>
      </c>
    </row>
    <row r="194">
      <c r="A194" s="8" t="inlineStr">
        <is>
          <t>2026-09-09</t>
        </is>
      </c>
      <c r="B194" s="8" t="inlineStr">
        <is>
          <t>BUAD-281</t>
        </is>
      </c>
      <c r="C194" s="15" t="inlineStr">
        <is>
          <t>Homework</t>
        </is>
      </c>
      <c r="D194" s="8" t="inlineStr">
        <is>
          <t>Yes</t>
        </is>
      </c>
      <c r="E194" s="8" t="inlineStr">
        <is>
          <t>Class 5 (9/9) - 2-29, 2-30, 2-40; 15 Points</t>
        </is>
      </c>
    </row>
    <row r="195">
      <c r="A195" s="11" t="inlineStr">
        <is>
          <t>2026-09-15</t>
        </is>
      </c>
      <c r="B195" s="11" t="inlineStr">
        <is>
          <t>HIST-103</t>
        </is>
      </c>
      <c r="C195" s="16" t="inlineStr">
        <is>
          <t>Assignment</t>
        </is>
      </c>
      <c r="D195" s="11" t="inlineStr">
        <is>
          <t>Yes</t>
        </is>
      </c>
      <c r="E195" s="11" t="inlineStr">
        <is>
          <t>Sleep Paper Due</t>
        </is>
      </c>
    </row>
    <row r="196">
      <c r="A196" s="8" t="inlineStr">
        <is>
          <t>2026-09-18</t>
        </is>
      </c>
      <c r="B196" s="8" t="inlineStr">
        <is>
          <t>SPAN-290</t>
        </is>
      </c>
      <c r="C196" s="25" t="inlineStr">
        <is>
          <t>Assignment</t>
        </is>
      </c>
      <c r="D196" s="8" t="inlineStr">
        <is>
          <t>Yes</t>
        </is>
      </c>
      <c r="E196" s="8" t="inlineStr">
        <is>
          <t>Essay 1</t>
        </is>
      </c>
    </row>
    <row r="198">
      <c r="A198" s="17" t="inlineStr">
        <is>
          <t>Do First - August 2026 - Connect prep only (ungraded, not Participation)</t>
        </is>
      </c>
    </row>
    <row r="199">
      <c r="A199" s="18" t="inlineStr">
        <is>
          <t>Due</t>
        </is>
      </c>
      <c r="B199" s="18" t="inlineStr">
        <is>
          <t>Class</t>
        </is>
      </c>
      <c r="C199" s="18" t="inlineStr">
        <is>
          <t>Type</t>
        </is>
      </c>
      <c r="D199" s="18" t="inlineStr">
        <is>
          <t>Graded?</t>
        </is>
      </c>
      <c r="E199" s="18" t="inlineStr">
        <is>
          <t>Item</t>
        </is>
      </c>
    </row>
    <row r="200">
      <c r="A200" s="19" t="inlineStr">
        <is>
          <t>2026-09-04</t>
        </is>
      </c>
      <c r="B200" s="19" t="inlineStr">
        <is>
          <t>BUAD-304</t>
        </is>
      </c>
      <c r="C200" s="20" t="inlineStr">
        <is>
          <t>Homework</t>
        </is>
      </c>
      <c r="D200" s="21" t="inlineStr">
        <is>
          <t>No</t>
        </is>
      </c>
      <c r="E200" s="19" t="inlineStr">
        <is>
          <t>Connect: Sharpen Companion</t>
        </is>
      </c>
    </row>
    <row r="202">
      <c r="A202" s="13" t="inlineStr">
        <is>
          <t>Upcoming graded assignments (next 45 days)</t>
        </is>
      </c>
    </row>
    <row r="203">
      <c r="A203" s="14" t="inlineStr">
        <is>
          <t>Due</t>
        </is>
      </c>
      <c r="B203" s="14" t="inlineStr">
        <is>
          <t>Class</t>
        </is>
      </c>
      <c r="C203" s="14" t="inlineStr">
        <is>
          <t>Type</t>
        </is>
      </c>
      <c r="D203" s="14" t="inlineStr">
        <is>
          <t>Graded?</t>
        </is>
      </c>
      <c r="E203" s="14" t="inlineStr">
        <is>
          <t>Item</t>
        </is>
      </c>
    </row>
    <row r="204">
      <c r="A204" s="8" t="inlineStr">
        <is>
          <t>2026-09-04</t>
        </is>
      </c>
      <c r="B204" s="8" t="inlineStr">
        <is>
          <t>ECON-351</t>
        </is>
      </c>
      <c r="C204" s="15" t="inlineStr">
        <is>
          <t>Homework</t>
        </is>
      </c>
      <c r="D204" s="8" t="inlineStr">
        <is>
          <t>Yes</t>
        </is>
      </c>
      <c r="E204" s="8" t="inlineStr">
        <is>
          <t>Homework 1 (Chapter 4) — Brightspace, due 11:59 pm</t>
        </is>
      </c>
    </row>
    <row r="205">
      <c r="A205" s="11" t="inlineStr">
        <is>
          <t>2026-09-04</t>
        </is>
      </c>
      <c r="B205" s="11" t="inlineStr">
        <is>
          <t>ANTH-202</t>
        </is>
      </c>
      <c r="C205" s="46" t="inlineStr">
        <is>
          <t>Homework</t>
        </is>
      </c>
      <c r="D205" s="11" t="inlineStr">
        <is>
          <t>Yes</t>
        </is>
      </c>
      <c r="E205" s="11" t="inlineStr">
        <is>
          <t>Week 2 quiz — Welcome! Course overview &amp; instructor introduction. (due Fri 7pm B</t>
        </is>
      </c>
    </row>
    <row r="206">
      <c r="A206" s="8" t="inlineStr">
        <is>
          <t>2026-09-09</t>
        </is>
      </c>
      <c r="B206" s="8" t="inlineStr">
        <is>
          <t>BUAD-281</t>
        </is>
      </c>
      <c r="C206" s="15" t="inlineStr">
        <is>
          <t>Homework</t>
        </is>
      </c>
      <c r="D206" s="8" t="inlineStr">
        <is>
          <t>Yes</t>
        </is>
      </c>
      <c r="E206" s="8" t="inlineStr">
        <is>
          <t>Class 5 (9/9) - 2-29, 2-30, 2-40; 15 Points</t>
        </is>
      </c>
    </row>
    <row r="207">
      <c r="A207" s="11" t="inlineStr">
        <is>
          <t>2026-09-11</t>
        </is>
      </c>
      <c r="B207" s="11" t="inlineStr">
        <is>
          <t>ECON-351</t>
        </is>
      </c>
      <c r="C207" s="46" t="inlineStr">
        <is>
          <t>Homework</t>
        </is>
      </c>
      <c r="D207" s="11" t="inlineStr">
        <is>
          <t>Yes</t>
        </is>
      </c>
      <c r="E207" s="11" t="inlineStr">
        <is>
          <t>Homework 2 (Chapter 9) — Brightspace, due 11:59 pm</t>
        </is>
      </c>
    </row>
    <row r="208">
      <c r="A208" s="8" t="inlineStr">
        <is>
          <t>2026-09-11</t>
        </is>
      </c>
      <c r="B208" s="8" t="inlineStr">
        <is>
          <t>ANTH-202</t>
        </is>
      </c>
      <c r="C208" s="15" t="inlineStr">
        <is>
          <t>Homework</t>
        </is>
      </c>
      <c r="D208" s="8" t="inlineStr">
        <is>
          <t>Yes</t>
        </is>
      </c>
      <c r="E208" s="8" t="inlineStr">
        <is>
          <t>Week 3 quiz — The Principles of Archaeology &amp; What is Anthropology? (due Fri 7pm</t>
        </is>
      </c>
    </row>
    <row r="209">
      <c r="A209" s="11" t="inlineStr">
        <is>
          <t>2026-09-14</t>
        </is>
      </c>
      <c r="B209" s="11" t="inlineStr">
        <is>
          <t>ECON-351</t>
        </is>
      </c>
      <c r="C209" s="120" t="inlineStr">
        <is>
          <t>Exam</t>
        </is>
      </c>
      <c r="D209" s="11" t="inlineStr">
        <is>
          <t>Yes</t>
        </is>
      </c>
      <c r="E209" s="11" t="inlineStr">
        <is>
          <t>Midterm 1 — covers Chapters 4 and 9</t>
        </is>
      </c>
    </row>
    <row r="210">
      <c r="A210" s="8" t="inlineStr">
        <is>
          <t>2026-09-14</t>
        </is>
      </c>
      <c r="B210" s="8" t="inlineStr">
        <is>
          <t>ECON-351</t>
        </is>
      </c>
      <c r="C210" s="25" t="inlineStr">
        <is>
          <t>Assignment</t>
        </is>
      </c>
      <c r="D210" s="8" t="inlineStr">
        <is>
          <t>Yes</t>
        </is>
      </c>
      <c r="E210" s="8" t="inlineStr">
        <is>
          <t>First midterm exam</t>
        </is>
      </c>
    </row>
    <row r="211">
      <c r="A211" s="11" t="inlineStr">
        <is>
          <t>2026-09-15</t>
        </is>
      </c>
      <c r="B211" s="11" t="inlineStr">
        <is>
          <t>HIST-103</t>
        </is>
      </c>
      <c r="C211" s="16" t="inlineStr">
        <is>
          <t>Assignment</t>
        </is>
      </c>
      <c r="D211" s="11" t="inlineStr">
        <is>
          <t>Yes</t>
        </is>
      </c>
      <c r="E211" s="11" t="inlineStr">
        <is>
          <t>Sleep Paper Due</t>
        </is>
      </c>
    </row>
    <row r="212">
      <c r="A212" s="8" t="inlineStr">
        <is>
          <t>2026-09-15</t>
        </is>
      </c>
      <c r="B212" s="8" t="inlineStr">
        <is>
          <t>HIST-103</t>
        </is>
      </c>
      <c r="C212" s="25" t="inlineStr">
        <is>
          <t>Assignment</t>
        </is>
      </c>
      <c r="D212" s="8" t="inlineStr">
        <is>
          <t>Yes</t>
        </is>
      </c>
      <c r="E212" s="8" t="inlineStr">
        <is>
          <t>Sleep Paper</t>
        </is>
      </c>
    </row>
    <row r="213">
      <c r="A213" s="11" t="inlineStr">
        <is>
          <t>2026-09-16</t>
        </is>
      </c>
      <c r="B213" s="11" t="inlineStr">
        <is>
          <t>BUAD-281</t>
        </is>
      </c>
      <c r="C213" s="46" t="inlineStr">
        <is>
          <t>Homework</t>
        </is>
      </c>
      <c r="D213" s="11" t="inlineStr">
        <is>
          <t>Yes</t>
        </is>
      </c>
      <c r="E213" s="11" t="inlineStr">
        <is>
          <t>Class 7 (9/16) - 3-24, 3-28, 3-32; 15 Points</t>
        </is>
      </c>
    </row>
    <row r="214">
      <c r="A214" s="8" t="inlineStr">
        <is>
          <t>2026-09-16</t>
        </is>
      </c>
      <c r="B214" s="8" t="inlineStr">
        <is>
          <t>BUAD-304</t>
        </is>
      </c>
      <c r="C214" s="25" t="inlineStr">
        <is>
          <t>Assignment</t>
        </is>
      </c>
      <c r="D214" s="8" t="inlineStr">
        <is>
          <t>Yes</t>
        </is>
      </c>
      <c r="E214" s="8" t="inlineStr">
        <is>
          <t>Thomas Green Case Analysis Memo</t>
        </is>
      </c>
    </row>
    <row r="215">
      <c r="A215" s="11" t="inlineStr">
        <is>
          <t>2026-09-17</t>
        </is>
      </c>
      <c r="B215" s="11" t="inlineStr">
        <is>
          <t>HIST-103</t>
        </is>
      </c>
      <c r="C215" s="16" t="inlineStr">
        <is>
          <t>Assignment</t>
        </is>
      </c>
      <c r="D215" s="11" t="inlineStr">
        <is>
          <t>Yes</t>
        </is>
      </c>
      <c r="E215" s="11" t="inlineStr">
        <is>
          <t>Final Exam</t>
        </is>
      </c>
    </row>
    <row r="216">
      <c r="A216" s="8" t="inlineStr">
        <is>
          <t>2026-09-18</t>
        </is>
      </c>
      <c r="B216" s="8" t="inlineStr">
        <is>
          <t>ECON-351</t>
        </is>
      </c>
      <c r="C216" s="15" t="inlineStr">
        <is>
          <t>Homework</t>
        </is>
      </c>
      <c r="D216" s="8" t="inlineStr">
        <is>
          <t>Yes</t>
        </is>
      </c>
      <c r="E216" s="8" t="inlineStr">
        <is>
          <t>Homework 3 — Brightspace, due 11:59 pm</t>
        </is>
      </c>
    </row>
    <row r="217">
      <c r="A217" s="11" t="inlineStr">
        <is>
          <t>2026-09-18</t>
        </is>
      </c>
      <c r="B217" s="11" t="inlineStr">
        <is>
          <t>ANTH-202</t>
        </is>
      </c>
      <c r="C217" s="46" t="inlineStr">
        <is>
          <t>Homework</t>
        </is>
      </c>
      <c r="D217" s="11" t="inlineStr">
        <is>
          <t>Yes</t>
        </is>
      </c>
      <c r="E217" s="11" t="inlineStr">
        <is>
          <t xml:space="preserve">Week 4 quiz — The History of Archaeology, Our Earliest Ancestors, Data Sampling </t>
        </is>
      </c>
    </row>
    <row r="218">
      <c r="A218" s="8" t="inlineStr">
        <is>
          <t>2026-09-18</t>
        </is>
      </c>
      <c r="B218" s="8" t="inlineStr">
        <is>
          <t>SPAN-290</t>
        </is>
      </c>
      <c r="C218" s="25" t="inlineStr">
        <is>
          <t>Assignment</t>
        </is>
      </c>
      <c r="D218" s="8" t="inlineStr">
        <is>
          <t>Yes</t>
        </is>
      </c>
      <c r="E218" s="8" t="inlineStr">
        <is>
          <t>Essay 1</t>
        </is>
      </c>
    </row>
    <row r="219">
      <c r="A219" s="11" t="inlineStr">
        <is>
          <t>2026-09-21</t>
        </is>
      </c>
      <c r="B219" s="11" t="inlineStr">
        <is>
          <t>BUAD-281</t>
        </is>
      </c>
      <c r="C219" s="46" t="inlineStr">
        <is>
          <t>Homework</t>
        </is>
      </c>
      <c r="D219" s="11" t="inlineStr">
        <is>
          <t>Yes</t>
        </is>
      </c>
      <c r="E219" s="11" t="inlineStr">
        <is>
          <t>Class 8 (9/21) - 5-27 5-46; 10 Points</t>
        </is>
      </c>
    </row>
    <row r="220">
      <c r="A220" s="8" t="inlineStr">
        <is>
          <t>2026-09-23</t>
        </is>
      </c>
      <c r="B220" s="8" t="inlineStr">
        <is>
          <t>BUAD-281</t>
        </is>
      </c>
      <c r="C220" s="15" t="inlineStr">
        <is>
          <t>Homework</t>
        </is>
      </c>
      <c r="D220" s="8" t="inlineStr">
        <is>
          <t>Yes</t>
        </is>
      </c>
      <c r="E220" s="8" t="inlineStr">
        <is>
          <t>Class 9 (9/23) - 4-21, 4-22; 10 Points</t>
        </is>
      </c>
    </row>
    <row r="221">
      <c r="A221" s="11" t="inlineStr">
        <is>
          <t>2026-09-25</t>
        </is>
      </c>
      <c r="B221" s="11" t="inlineStr">
        <is>
          <t>ECON-351</t>
        </is>
      </c>
      <c r="C221" s="46" t="inlineStr">
        <is>
          <t>Homework</t>
        </is>
      </c>
      <c r="D221" s="11" t="inlineStr">
        <is>
          <t>Yes</t>
        </is>
      </c>
      <c r="E221" s="11" t="inlineStr">
        <is>
          <t>Homework 4 (Chapter 3) — Brightspace, due 11:59 pm</t>
        </is>
      </c>
    </row>
    <row r="222">
      <c r="A222" s="8" t="inlineStr">
        <is>
          <t>2026-09-25</t>
        </is>
      </c>
      <c r="B222" s="8" t="inlineStr">
        <is>
          <t>ANTH-202</t>
        </is>
      </c>
      <c r="C222" s="15" t="inlineStr">
        <is>
          <t>Homework</t>
        </is>
      </c>
      <c r="D222" s="8" t="inlineStr">
        <is>
          <t>Yes</t>
        </is>
      </c>
      <c r="E222" s="8" t="inlineStr">
        <is>
          <t>Week 5 quiz — Making a Living-Foraging to Agriculture &amp; The Paleolithic (due Fri</t>
        </is>
      </c>
    </row>
    <row r="223">
      <c r="A223" s="11" t="inlineStr">
        <is>
          <t>2026-09-25</t>
        </is>
      </c>
      <c r="B223" s="11" t="inlineStr">
        <is>
          <t>ANTH-202</t>
        </is>
      </c>
      <c r="C223" s="16" t="inlineStr">
        <is>
          <t>Assignment</t>
        </is>
      </c>
      <c r="D223" s="11" t="inlineStr">
        <is>
          <t>Yes</t>
        </is>
      </c>
      <c r="E223" s="11" t="inlineStr">
        <is>
          <t>Research Design Worksheet 1 (Topic) — submit via Brightspace</t>
        </is>
      </c>
    </row>
    <row r="224">
      <c r="A224" s="8" t="inlineStr">
        <is>
          <t>2026-09-25</t>
        </is>
      </c>
      <c r="B224" s="8" t="inlineStr">
        <is>
          <t>BUAD-304</t>
        </is>
      </c>
      <c r="C224" s="26" t="inlineStr">
        <is>
          <t>Research</t>
        </is>
      </c>
      <c r="D224" s="8" t="inlineStr">
        <is>
          <t>Yes</t>
        </is>
      </c>
      <c r="E224" s="8" t="inlineStr">
        <is>
          <t>Research: Setup deadline (registration, prescreening, contacts)</t>
        </is>
      </c>
    </row>
    <row r="225">
      <c r="A225" s="11" t="inlineStr">
        <is>
          <t>2026-09-28</t>
        </is>
      </c>
      <c r="B225" s="11" t="inlineStr">
        <is>
          <t>BUAD-281</t>
        </is>
      </c>
      <c r="C225" s="46" t="inlineStr">
        <is>
          <t>Homework</t>
        </is>
      </c>
      <c r="D225" s="11" t="inlineStr">
        <is>
          <t>Yes</t>
        </is>
      </c>
      <c r="E225" s="11" t="inlineStr">
        <is>
          <t>Class 10 (9/28) - 8-28, 8-29; 10 Points</t>
        </is>
      </c>
    </row>
    <row r="226">
      <c r="A226" s="8" t="inlineStr">
        <is>
          <t>2026-09-28</t>
        </is>
      </c>
      <c r="B226" s="8" t="inlineStr">
        <is>
          <t>BUAD-304</t>
        </is>
      </c>
      <c r="C226" s="25" t="inlineStr">
        <is>
          <t>Assignment</t>
        </is>
      </c>
      <c r="D226" s="8" t="inlineStr">
        <is>
          <t>Yes</t>
        </is>
      </c>
      <c r="E226" s="8" t="inlineStr">
        <is>
          <t>Team project proposal &amp; team contract</t>
        </is>
      </c>
    </row>
    <row r="227">
      <c r="A227" s="11" t="inlineStr">
        <is>
          <t>2026-09-28</t>
        </is>
      </c>
      <c r="B227" s="11" t="inlineStr">
        <is>
          <t>BUAD-304</t>
        </is>
      </c>
      <c r="C227" s="16" t="inlineStr">
        <is>
          <t>Assignment</t>
        </is>
      </c>
      <c r="D227" s="11" t="inlineStr">
        <is>
          <t>Yes</t>
        </is>
      </c>
      <c r="E227" s="11" t="inlineStr">
        <is>
          <t>Proposal &amp; Team Contract</t>
        </is>
      </c>
    </row>
    <row r="228">
      <c r="A228" s="8" t="inlineStr">
        <is>
          <t>2026-09-30</t>
        </is>
      </c>
      <c r="B228" s="8" t="inlineStr">
        <is>
          <t>BUAD-281</t>
        </is>
      </c>
      <c r="C228" s="47" t="inlineStr">
        <is>
          <t>Exam</t>
        </is>
      </c>
      <c r="D228" s="8" t="inlineStr">
        <is>
          <t>Yes</t>
        </is>
      </c>
      <c r="E228" s="8" t="inlineStr">
        <is>
          <t>9/30 Midterm 1: 250 Points Chapters 1, 2, 3, 4, 5, 8</t>
        </is>
      </c>
    </row>
    <row r="229">
      <c r="A229" s="11" t="inlineStr">
        <is>
          <t>2026-09-30</t>
        </is>
      </c>
      <c r="B229" s="11" t="inlineStr">
        <is>
          <t>BUAD-281</t>
        </is>
      </c>
      <c r="C229" s="16" t="inlineStr">
        <is>
          <t>Assignment</t>
        </is>
      </c>
      <c r="D229" s="11" t="inlineStr">
        <is>
          <t>Yes</t>
        </is>
      </c>
      <c r="E229" s="11" t="inlineStr">
        <is>
          <t>Midterm 1</t>
        </is>
      </c>
    </row>
    <row r="230">
      <c r="A230" s="8" t="inlineStr">
        <is>
          <t>2026-10-01</t>
        </is>
      </c>
      <c r="B230" s="8" t="inlineStr">
        <is>
          <t>SPAN-290</t>
        </is>
      </c>
      <c r="C230" s="47" t="inlineStr">
        <is>
          <t>Exam</t>
        </is>
      </c>
      <c r="D230" s="8" t="inlineStr">
        <is>
          <t>Yes</t>
        </is>
      </c>
      <c r="E230" s="8" t="inlineStr">
        <is>
          <t>Midterm Exam (in class)</t>
        </is>
      </c>
    </row>
    <row r="231">
      <c r="A231" s="11" t="inlineStr">
        <is>
          <t>2026-10-01</t>
        </is>
      </c>
      <c r="B231" s="11" t="inlineStr">
        <is>
          <t>SPAN-290</t>
        </is>
      </c>
      <c r="C231" s="16" t="inlineStr">
        <is>
          <t>Assignment</t>
        </is>
      </c>
      <c r="D231" s="11" t="inlineStr">
        <is>
          <t>Yes</t>
        </is>
      </c>
      <c r="E231" s="11" t="inlineStr">
        <is>
          <t>Midterm Exam</t>
        </is>
      </c>
    </row>
    <row r="232">
      <c r="A232" s="8" t="inlineStr">
        <is>
          <t>2026-10-02</t>
        </is>
      </c>
      <c r="B232" s="8" t="inlineStr">
        <is>
          <t>ECON-351</t>
        </is>
      </c>
      <c r="C232" s="15" t="inlineStr">
        <is>
          <t>Homework</t>
        </is>
      </c>
      <c r="D232" s="8" t="inlineStr">
        <is>
          <t>Yes</t>
        </is>
      </c>
      <c r="E232" s="8" t="inlineStr">
        <is>
          <t>Homework 5 (Chapter 5) — Brightspace, due 11:59 pm</t>
        </is>
      </c>
    </row>
    <row r="233">
      <c r="A233" s="11" t="inlineStr">
        <is>
          <t>2026-10-02</t>
        </is>
      </c>
      <c r="B233" s="11" t="inlineStr">
        <is>
          <t>ANTH-202</t>
        </is>
      </c>
      <c r="C233" s="46" t="inlineStr">
        <is>
          <t>Homework</t>
        </is>
      </c>
      <c r="D233" s="11" t="inlineStr">
        <is>
          <t>Yes</t>
        </is>
      </c>
      <c r="E233" s="11" t="inlineStr">
        <is>
          <t>Week 6 quiz — Making a Living-Foraging to Agriculture &amp; The Paleolithic (due Fri</t>
        </is>
      </c>
    </row>
    <row r="234">
      <c r="A234" s="8" t="inlineStr">
        <is>
          <t>2026-10-02</t>
        </is>
      </c>
      <c r="B234" s="8" t="inlineStr">
        <is>
          <t>ECON-351</t>
        </is>
      </c>
      <c r="C234" s="25" t="inlineStr">
        <is>
          <t>Assignment</t>
        </is>
      </c>
      <c r="D234" s="8" t="inlineStr">
        <is>
          <t>Yes</t>
        </is>
      </c>
      <c r="E234" s="8" t="inlineStr">
        <is>
          <t>AI Forecast Project — Part I</t>
        </is>
      </c>
    </row>
    <row r="235">
      <c r="A235" s="11" t="inlineStr">
        <is>
          <t>2026-10-02</t>
        </is>
      </c>
      <c r="B235" s="11" t="inlineStr">
        <is>
          <t>ANTH-202</t>
        </is>
      </c>
      <c r="C235" s="16" t="inlineStr">
        <is>
          <t>Assignment</t>
        </is>
      </c>
      <c r="D235" s="11" t="inlineStr">
        <is>
          <t>Yes</t>
        </is>
      </c>
      <c r="E235" s="11" t="inlineStr">
        <is>
          <t>Peer Review Workshop 1 (Topic) — discussion board + comment list</t>
        </is>
      </c>
    </row>
    <row r="236">
      <c r="A236" s="8" t="inlineStr">
        <is>
          <t>2026-10-06</t>
        </is>
      </c>
      <c r="B236" s="8" t="inlineStr">
        <is>
          <t>HIST-103</t>
        </is>
      </c>
      <c r="C236" s="47" t="inlineStr">
        <is>
          <t>Exam</t>
        </is>
      </c>
      <c r="D236" s="8" t="inlineStr">
        <is>
          <t>Yes</t>
        </is>
      </c>
      <c r="E236" s="8" t="inlineStr">
        <is>
          <t>Midterm Exam</t>
        </is>
      </c>
    </row>
    <row r="237">
      <c r="A237" s="11" t="inlineStr">
        <is>
          <t>2026-10-07</t>
        </is>
      </c>
      <c r="B237" s="11" t="inlineStr">
        <is>
          <t>BUAD-281</t>
        </is>
      </c>
      <c r="C237" s="46" t="inlineStr">
        <is>
          <t>Homework</t>
        </is>
      </c>
      <c r="D237" s="11" t="inlineStr">
        <is>
          <t>Yes</t>
        </is>
      </c>
      <c r="E237" s="11" t="inlineStr">
        <is>
          <t>Class 12 (10/7) - 6-24, 6-25, 6-34; 15 Points</t>
        </is>
      </c>
    </row>
    <row r="238">
      <c r="A238" s="8" t="inlineStr">
        <is>
          <t>2026-10-09</t>
        </is>
      </c>
      <c r="B238" s="8" t="inlineStr">
        <is>
          <t>ECON-351</t>
        </is>
      </c>
      <c r="C238" s="15" t="inlineStr">
        <is>
          <t>Homework</t>
        </is>
      </c>
      <c r="D238" s="8" t="inlineStr">
        <is>
          <t>Yes</t>
        </is>
      </c>
      <c r="E238" s="8" t="inlineStr">
        <is>
          <t>Homework 6 (Chapter 6) — Brightspace, due 11:59 pm</t>
        </is>
      </c>
    </row>
    <row r="239">
      <c r="A239" s="11" t="inlineStr">
        <is>
          <t>2026-10-12</t>
        </is>
      </c>
      <c r="B239" s="11" t="inlineStr">
        <is>
          <t>ECON-351</t>
        </is>
      </c>
      <c r="C239" s="120" t="inlineStr">
        <is>
          <t>Exam</t>
        </is>
      </c>
      <c r="D239" s="11" t="inlineStr">
        <is>
          <t>Yes</t>
        </is>
      </c>
      <c r="E239" s="11" t="inlineStr">
        <is>
          <t>Midterm 2 — covers Chapters 3, 5, and 6</t>
        </is>
      </c>
    </row>
    <row r="240">
      <c r="A240" s="8" t="inlineStr">
        <is>
          <t>2026-10-12</t>
        </is>
      </c>
      <c r="B240" s="8" t="inlineStr">
        <is>
          <t>ECON-351</t>
        </is>
      </c>
      <c r="C240" s="25" t="inlineStr">
        <is>
          <t>Assignment</t>
        </is>
      </c>
      <c r="D240" s="8" t="inlineStr">
        <is>
          <t>Yes</t>
        </is>
      </c>
      <c r="E240" s="8" t="inlineStr">
        <is>
          <t>Second midterm exam</t>
        </is>
      </c>
    </row>
    <row r="241">
      <c r="A241" s="11" t="inlineStr">
        <is>
          <t>2026-10-13</t>
        </is>
      </c>
      <c r="B241" s="11" t="inlineStr">
        <is>
          <t>ANTH-202</t>
        </is>
      </c>
      <c r="C241" s="120" t="inlineStr">
        <is>
          <t>Exam</t>
        </is>
      </c>
      <c r="D241" s="11" t="inlineStr">
        <is>
          <t>Yes</t>
        </is>
      </c>
      <c r="E241" s="11" t="inlineStr">
        <is>
          <t>Midterm Exam — online open-book via Brightspace (Oct 13, 2:00–3:20pm window)</t>
        </is>
      </c>
    </row>
    <row r="242">
      <c r="A242" s="8" t="inlineStr">
        <is>
          <t>2026-10-13</t>
        </is>
      </c>
      <c r="B242" s="8" t="inlineStr">
        <is>
          <t>ANTH-202</t>
        </is>
      </c>
      <c r="C242" s="25" t="inlineStr">
        <is>
          <t>Assignment</t>
        </is>
      </c>
      <c r="D242" s="8" t="inlineStr">
        <is>
          <t>Yes</t>
        </is>
      </c>
      <c r="E242" s="8" t="inlineStr">
        <is>
          <t>Midterm Exam</t>
        </is>
      </c>
    </row>
    <row r="243">
      <c r="A243" s="11" t="inlineStr">
        <is>
          <t>2026-10-14</t>
        </is>
      </c>
      <c r="B243" s="11" t="inlineStr">
        <is>
          <t>BUAD-281</t>
        </is>
      </c>
      <c r="C243" s="46" t="inlineStr">
        <is>
          <t>Homework</t>
        </is>
      </c>
      <c r="D243" s="11" t="inlineStr">
        <is>
          <t>Yes</t>
        </is>
      </c>
      <c r="E243" s="11" t="inlineStr">
        <is>
          <t>Class 14 (10/14) - 7-29, 7-33, 7-40; 15 Points</t>
        </is>
      </c>
    </row>
  </sheetData>
  <mergeCells count="146">
    <mergeCell ref="A176:K176"/>
    <mergeCell ref="E154:K154"/>
    <mergeCell ref="E119:K119"/>
    <mergeCell ref="E163:K163"/>
    <mergeCell ref="E101:K101"/>
    <mergeCell ref="E113:K113"/>
    <mergeCell ref="E91:K91"/>
    <mergeCell ref="E85:K85"/>
    <mergeCell ref="E100:K100"/>
    <mergeCell ref="A178:K178"/>
    <mergeCell ref="C43:K43"/>
    <mergeCell ref="E136:K136"/>
    <mergeCell ref="E75:K75"/>
    <mergeCell ref="E53:K53"/>
    <mergeCell ref="E115:K115"/>
    <mergeCell ref="E93:K93"/>
    <mergeCell ref="E146:K146"/>
    <mergeCell ref="E102:K102"/>
    <mergeCell ref="A41:K41"/>
    <mergeCell ref="E117:K117"/>
    <mergeCell ref="E55:K55"/>
    <mergeCell ref="E122:K122"/>
    <mergeCell ref="E67:K67"/>
    <mergeCell ref="E132:K132"/>
    <mergeCell ref="E127:K127"/>
    <mergeCell ref="A2:K2"/>
    <mergeCell ref="E103:K103"/>
    <mergeCell ref="E147:K147"/>
    <mergeCell ref="E161:K161"/>
    <mergeCell ref="E170:K170"/>
    <mergeCell ref="A190:K190"/>
    <mergeCell ref="E95:K95"/>
    <mergeCell ref="E89:K89"/>
    <mergeCell ref="E104:K104"/>
    <mergeCell ref="C47:K47"/>
    <mergeCell ref="A30:K30"/>
    <mergeCell ref="E110:K110"/>
    <mergeCell ref="E124:K124"/>
    <mergeCell ref="E120:K120"/>
    <mergeCell ref="E172:K172"/>
    <mergeCell ref="E76:K76"/>
    <mergeCell ref="E174:K174"/>
    <mergeCell ref="E66:K66"/>
    <mergeCell ref="E58:K58"/>
    <mergeCell ref="E106:K106"/>
    <mergeCell ref="E121:K121"/>
    <mergeCell ref="E130:K130"/>
    <mergeCell ref="E68:K68"/>
    <mergeCell ref="E151:K151"/>
    <mergeCell ref="E160:K160"/>
    <mergeCell ref="E52:K52"/>
    <mergeCell ref="E83:K83"/>
    <mergeCell ref="E123:K123"/>
    <mergeCell ref="E135:K135"/>
    <mergeCell ref="E92:K92"/>
    <mergeCell ref="E141:K141"/>
    <mergeCell ref="E150:K150"/>
    <mergeCell ref="A179:K179"/>
    <mergeCell ref="E107:K107"/>
    <mergeCell ref="E143:K143"/>
    <mergeCell ref="A202:K202"/>
    <mergeCell ref="E94:K94"/>
    <mergeCell ref="E152:K152"/>
    <mergeCell ref="E69:K69"/>
    <mergeCell ref="E84:K84"/>
    <mergeCell ref="E78:K78"/>
    <mergeCell ref="E167:K167"/>
    <mergeCell ref="E118:K118"/>
    <mergeCell ref="E149:K149"/>
    <mergeCell ref="E114:K114"/>
    <mergeCell ref="E158:K158"/>
    <mergeCell ref="E59:K59"/>
    <mergeCell ref="C45:K45"/>
    <mergeCell ref="E77:K77"/>
    <mergeCell ref="E133:K133"/>
    <mergeCell ref="E108:K108"/>
    <mergeCell ref="E86:K86"/>
    <mergeCell ref="E80:K80"/>
    <mergeCell ref="E169:K169"/>
    <mergeCell ref="E61:K61"/>
    <mergeCell ref="E70:K70"/>
    <mergeCell ref="E162:K162"/>
    <mergeCell ref="C44:K44"/>
    <mergeCell ref="E144:K144"/>
    <mergeCell ref="E57:K57"/>
    <mergeCell ref="E54:K54"/>
    <mergeCell ref="E125:K125"/>
    <mergeCell ref="E72:K72"/>
    <mergeCell ref="A1:K1"/>
    <mergeCell ref="E134:K134"/>
    <mergeCell ref="E81:K81"/>
    <mergeCell ref="E112:K112"/>
    <mergeCell ref="C46:K46"/>
    <mergeCell ref="E164:K164"/>
    <mergeCell ref="E109:K109"/>
    <mergeCell ref="A5:I5"/>
    <mergeCell ref="E56:K56"/>
    <mergeCell ref="E96:K96"/>
    <mergeCell ref="C48:K48"/>
    <mergeCell ref="E111:K111"/>
    <mergeCell ref="E98:K98"/>
    <mergeCell ref="E165:K165"/>
    <mergeCell ref="E88:K88"/>
    <mergeCell ref="E126:K126"/>
    <mergeCell ref="E82:K82"/>
    <mergeCell ref="E140:K140"/>
    <mergeCell ref="E138:K138"/>
    <mergeCell ref="A4:K4"/>
    <mergeCell ref="E60:K60"/>
    <mergeCell ref="C42:K42"/>
    <mergeCell ref="E74:K74"/>
    <mergeCell ref="E166:K166"/>
    <mergeCell ref="E116:K116"/>
    <mergeCell ref="E168:K168"/>
    <mergeCell ref="E159:K159"/>
    <mergeCell ref="E97:K97"/>
    <mergeCell ref="E145:K145"/>
    <mergeCell ref="E139:K139"/>
    <mergeCell ref="E62:K62"/>
    <mergeCell ref="E71:K71"/>
    <mergeCell ref="E129:K129"/>
    <mergeCell ref="E142:K142"/>
    <mergeCell ref="A198:K198"/>
    <mergeCell ref="A50:K50"/>
    <mergeCell ref="A3:K3"/>
    <mergeCell ref="E64:K64"/>
    <mergeCell ref="E79:K79"/>
    <mergeCell ref="E73:K73"/>
    <mergeCell ref="E131:K131"/>
    <mergeCell ref="E87:K87"/>
    <mergeCell ref="E156:K156"/>
    <mergeCell ref="E171:K171"/>
    <mergeCell ref="E153:K153"/>
    <mergeCell ref="E63:K63"/>
    <mergeCell ref="E128:K128"/>
    <mergeCell ref="E155:K155"/>
    <mergeCell ref="E137:K137"/>
    <mergeCell ref="E173:K173"/>
    <mergeCell ref="A29:K29"/>
    <mergeCell ref="E65:K65"/>
    <mergeCell ref="E90:K90"/>
    <mergeCell ref="E105:K105"/>
    <mergeCell ref="E148:K148"/>
    <mergeCell ref="E99:K99"/>
    <mergeCell ref="E157:K157"/>
    <mergeCell ref="A31:K31"/>
  </mergeCells>
  <hyperlinks>
    <hyperlink xmlns:r="http://schemas.openxmlformats.org/officeDocument/2006/relationships" ref="B33" r:id="rId1"/>
    <hyperlink xmlns:r="http://schemas.openxmlformats.org/officeDocument/2006/relationships" ref="B34" r:id="rId2"/>
    <hyperlink xmlns:r="http://schemas.openxmlformats.org/officeDocument/2006/relationships" ref="B35" r:id="rId3"/>
    <hyperlink xmlns:r="http://schemas.openxmlformats.org/officeDocument/2006/relationships" ref="B36" r:id="rId4"/>
    <hyperlink xmlns:r="http://schemas.openxmlformats.org/officeDocument/2006/relationships" ref="B37" r:id="rId5"/>
    <hyperlink xmlns:r="http://schemas.openxmlformats.org/officeDocument/2006/relationships" ref="B38" r:id="rId6"/>
    <hyperlink xmlns:r="http://schemas.openxmlformats.org/officeDocument/2006/relationships" ref="B39" r:id="rId7"/>
  </hyperlinks>
  <pageMargins left="0.75" right="0.75" top="1" bottom="1" header="0.5" footer="0.5"/>
</worksheet>
</file>

<file path=xl/worksheets/sheet2.xml><?xml version="1.0" encoding="utf-8"?>
<worksheet xmlns="http://schemas.openxmlformats.org/spreadsheetml/2006/main">
  <sheetPr>
    <tabColor rgb="00548235"/>
    <outlinePr summaryBelow="1" summaryRight="1"/>
    <pageSetUpPr/>
  </sheetPr>
  <dimension ref="A1:I25"/>
  <sheetViews>
    <sheetView workbookViewId="0">
      <pane ySplit="4" topLeftCell="A5" activePane="bottomLeft" state="frozen"/>
      <selection pane="bottomLeft" activeCell="A1" sqref="A1"/>
    </sheetView>
  </sheetViews>
  <sheetFormatPr baseColWidth="8" defaultRowHeight="15"/>
  <cols>
    <col width="14" customWidth="1" min="1" max="1"/>
    <col width="14" customWidth="1" min="2" max="2"/>
    <col width="42" customWidth="1" min="3" max="3"/>
    <col width="28" customWidth="1" min="4" max="4"/>
    <col width="8" customWidth="1" min="5" max="5"/>
    <col width="14" customWidth="1" min="6" max="6"/>
    <col width="16" customWidth="1" min="7" max="7"/>
    <col width="36" customWidth="1" min="8" max="8"/>
    <col width="52" customWidth="1" min="9" max="9"/>
  </cols>
  <sheetData>
    <row r="1" ht="26" customHeight="1">
      <c r="A1" s="294" t="inlineStr">
        <is>
          <t>Graduation Plan — Marshall BBA (128 units)</t>
        </is>
      </c>
    </row>
    <row r="2" ht="22" customHeight="1">
      <c r="A2" s="309">
        <f>HYPERLINK("https://raw.githubusercontent.com/vengeanceaiUSC/Syllabus-/cursor/add-syllabus-dissector-skill-a676/output/sources/stars-report.pdf","→ Download STARS Report (PDF) — opens in browser")</f>
        <v/>
      </c>
    </row>
    <row r="3" ht="28" customHeight="1">
      <c r="A3" s="316" t="inlineStr">
        <is>
          <t>https://raw.githubusercontent.com/vengeanceaiUSC/Syllabus-/cursor/add-syllabus-dissector-skill-a676/output/sources/stars-report.pdf</t>
        </is>
      </c>
    </row>
    <row r="4">
      <c r="A4" s="295" t="inlineStr">
        <is>
          <t>Term</t>
        </is>
      </c>
      <c r="B4" s="295" t="inlineStr">
        <is>
          <t>Course Code</t>
        </is>
      </c>
      <c r="C4" s="295" t="inlineStr">
        <is>
          <t>Course Title</t>
        </is>
      </c>
      <c r="D4" s="295" t="inlineStr">
        <is>
          <t>Requirement Satisfied</t>
        </is>
      </c>
      <c r="E4" s="295" t="inlineStr">
        <is>
          <t>Units</t>
        </is>
      </c>
      <c r="F4" s="295" t="inlineStr">
        <is>
          <t>Semester Total</t>
        </is>
      </c>
      <c r="G4" s="295" t="inlineStr">
        <is>
          <t>Cumulative Total</t>
        </is>
      </c>
      <c r="H4" s="295" t="inlineStr">
        <is>
          <t>Notes</t>
        </is>
      </c>
      <c r="I4" s="295" t="inlineStr">
        <is>
          <t>GE-D Consider (Prof / Class)</t>
        </is>
      </c>
    </row>
    <row r="5">
      <c r="A5" s="413" t="inlineStr">
        <is>
          <t>Prior Credit</t>
        </is>
      </c>
      <c r="B5" s="414" t="inlineStr"/>
      <c r="C5" s="300" t="inlineStr">
        <is>
          <t>Transfer / Prior USC Work</t>
        </is>
      </c>
      <c r="D5" s="414" t="inlineStr"/>
      <c r="E5" s="414" t="inlineStr"/>
      <c r="F5" s="414" t="inlineStr"/>
      <c r="G5" s="414" t="inlineStr">
        <is>
          <t>51.0</t>
        </is>
      </c>
      <c r="H5" s="300" t="inlineStr"/>
    </row>
    <row r="6">
      <c r="A6" s="413" t="inlineStr">
        <is>
          <t>Fall 2026</t>
        </is>
      </c>
      <c r="B6" s="415">
        <f>HYPERLINK("#'BUAD-304'!A1","BUAD 304")</f>
        <v/>
      </c>
      <c r="C6" s="298" t="inlineStr">
        <is>
          <t>Organizational Behavior and Leadership</t>
        </is>
      </c>
      <c r="D6" s="416" t="inlineStr">
        <is>
          <t>Marshall Core</t>
        </is>
      </c>
      <c r="E6" s="416" t="inlineStr">
        <is>
          <t>4.0</t>
        </is>
      </c>
      <c r="F6" s="416" t="inlineStr">
        <is>
          <t>12.0</t>
        </is>
      </c>
      <c r="G6" s="416" t="inlineStr">
        <is>
          <t>63.0</t>
        </is>
      </c>
      <c r="H6" s="298" t="inlineStr">
        <is>
          <t>BUAD 281 moved to Spring 2027</t>
        </is>
      </c>
    </row>
    <row r="7">
      <c r="A7" s="414" t="inlineStr"/>
      <c r="B7" s="417">
        <f>HYPERLINK("#'ECON-351'!A1","ECON 351")</f>
        <v/>
      </c>
      <c r="C7" s="300" t="inlineStr">
        <is>
          <t>Microeconomics for Business</t>
        </is>
      </c>
      <c r="D7" s="414" t="inlineStr">
        <is>
          <t>Economics / Marshall Core</t>
        </is>
      </c>
      <c r="E7" s="414" t="inlineStr">
        <is>
          <t>4.0</t>
        </is>
      </c>
      <c r="F7" s="414" t="inlineStr"/>
      <c r="G7" s="414" t="inlineStr"/>
      <c r="H7" s="300" t="inlineStr"/>
    </row>
    <row r="8">
      <c r="A8" s="416" t="inlineStr"/>
      <c r="B8" s="416" t="inlineStr">
        <is>
          <t>REL 137</t>
        </is>
      </c>
      <c r="C8" s="298" t="inlineStr">
        <is>
          <t>Intro to Islam</t>
        </is>
      </c>
      <c r="D8" s="416" t="inlineStr">
        <is>
          <t>GE Category B (Humanistic Inquiry)</t>
        </is>
      </c>
      <c r="E8" s="416" t="inlineStr">
        <is>
          <t>4.0</t>
        </is>
      </c>
      <c r="F8" s="416" t="inlineStr"/>
      <c r="G8" s="416" t="inlineStr"/>
      <c r="H8" s="298" t="inlineStr">
        <is>
          <t>4 units — swapped from HIST 103</t>
        </is>
      </c>
    </row>
    <row r="9">
      <c r="A9" s="413" t="inlineStr">
        <is>
          <t>Spring 2027</t>
        </is>
      </c>
      <c r="B9" s="417">
        <f>HYPERLINK("#'BUAD-281'!A1","BUAD 281")</f>
        <v/>
      </c>
      <c r="C9" s="300" t="inlineStr">
        <is>
          <t>Introduction to Managerial Accounting</t>
        </is>
      </c>
      <c r="D9" s="414" t="inlineStr">
        <is>
          <t>Accounting / Marshall Core</t>
        </is>
      </c>
      <c r="E9" s="414" t="inlineStr">
        <is>
          <t>3.0</t>
        </is>
      </c>
      <c r="F9" s="414" t="inlineStr">
        <is>
          <t>15.0</t>
        </is>
      </c>
      <c r="G9" s="414" t="inlineStr">
        <is>
          <t>78.0</t>
        </is>
      </c>
      <c r="H9" s="300" t="inlineStr">
        <is>
          <t>Marshall #1</t>
        </is>
      </c>
    </row>
    <row r="10">
      <c r="A10" s="416" t="inlineStr"/>
      <c r="B10" s="416" t="inlineStr">
        <is>
          <t>BUAD 302</t>
        </is>
      </c>
      <c r="C10" s="298" t="inlineStr">
        <is>
          <t>Communication Strategy for Business</t>
        </is>
      </c>
      <c r="D10" s="416" t="inlineStr">
        <is>
          <t>Marshall Core</t>
        </is>
      </c>
      <c r="E10" s="416" t="inlineStr">
        <is>
          <t>4.0</t>
        </is>
      </c>
      <c r="F10" s="416" t="inlineStr"/>
      <c r="G10" s="416" t="inlineStr"/>
      <c r="H10" s="298" t="inlineStr">
        <is>
          <t>Marshall #2 (≤2 rule met)</t>
        </is>
      </c>
    </row>
    <row r="11">
      <c r="A11" s="414" t="inlineStr"/>
      <c r="B11" s="417">
        <f>HYPERLINK("#'ANTH-202'!A1","ANTH 202")</f>
        <v/>
      </c>
      <c r="C11" s="300" t="inlineStr">
        <is>
          <t>Archaeology: Our Human Past</t>
        </is>
      </c>
      <c r="D11" s="414" t="inlineStr">
        <is>
          <t>GE Category C</t>
        </is>
      </c>
      <c r="E11" s="414" t="inlineStr">
        <is>
          <t>4.0</t>
        </is>
      </c>
      <c r="F11" s="414" t="inlineStr"/>
      <c r="G11" s="414" t="inlineStr"/>
      <c r="H11" s="300" t="inlineStr">
        <is>
          <t>Prof. Tracie Mayfield · RMP 4.6 quality / 2.1 difficulty · 82% would take again · avg grade A- (3.93 GPA) · open-book midterm/final (MC mostly from weekly quizzes) · final paper built via worksheets + peer review · reviews: prepares well for exams, generally lenient grader if you keep up</t>
        </is>
      </c>
    </row>
    <row r="12">
      <c r="A12" s="416" t="inlineStr"/>
      <c r="B12" s="416" t="inlineStr">
        <is>
          <t>GE-D Course</t>
        </is>
      </c>
      <c r="C12" s="298" t="inlineStr">
        <is>
          <t>Approved Life Sciences Course</t>
        </is>
      </c>
      <c r="D12" s="416" t="inlineStr">
        <is>
          <t>GE Category D</t>
        </is>
      </c>
      <c r="E12" s="416" t="inlineStr">
        <is>
          <t>4.0</t>
        </is>
      </c>
      <c r="F12" s="416" t="inlineStr"/>
      <c r="G12" s="416" t="inlineStr"/>
      <c r="H12" s="298" t="inlineStr">
        <is>
          <t>Replaces Fall 2027 free elective slot</t>
        </is>
      </c>
      <c r="I12" s="298" t="inlineStr">
        <is>
          <t>HBIO-205 Science of Sport · Prof. Soultanakis (Fall sec 38411) · HBIO-210 Mediterranean Lifestyles · Prof. Soultanakis (Fall sec 38452) · RMP 2.8 quality / 2.8 difficulty · no papers · 2 MC midterms (drop lower) + MC final · memorize slides/study guides</t>
        </is>
      </c>
    </row>
    <row r="13">
      <c r="A13" s="413" t="inlineStr">
        <is>
          <t>Fall 2027</t>
        </is>
      </c>
      <c r="B13" s="414" t="inlineStr">
        <is>
          <t>BUAD 306</t>
        </is>
      </c>
      <c r="C13" s="300" t="inlineStr">
        <is>
          <t>Business Finance</t>
        </is>
      </c>
      <c r="D13" s="414" t="inlineStr">
        <is>
          <t>Marshall Core</t>
        </is>
      </c>
      <c r="E13" s="414" t="inlineStr">
        <is>
          <t>4.0</t>
        </is>
      </c>
      <c r="F13" s="414" t="inlineStr">
        <is>
          <t>12.0</t>
        </is>
      </c>
      <c r="G13" s="414" t="inlineStr">
        <is>
          <t>90.0</t>
        </is>
      </c>
      <c r="H13" s="300" t="inlineStr">
        <is>
          <t>WRIT 340 moved to Fall 2028</t>
        </is>
      </c>
    </row>
    <row r="14">
      <c r="A14" s="416" t="inlineStr"/>
      <c r="B14" s="416" t="inlineStr">
        <is>
          <t>ECON 352</t>
        </is>
      </c>
      <c r="C14" s="298" t="inlineStr">
        <is>
          <t>Macroeconomics for Business</t>
        </is>
      </c>
      <c r="D14" s="416" t="inlineStr">
        <is>
          <t>Economics Requirement</t>
        </is>
      </c>
      <c r="E14" s="416" t="inlineStr">
        <is>
          <t>4.0</t>
        </is>
      </c>
      <c r="F14" s="416" t="inlineStr"/>
      <c r="G14" s="416" t="inlineStr"/>
      <c r="H14" s="298" t="inlineStr">
        <is>
          <t>Prereq ECON 351</t>
        </is>
      </c>
    </row>
    <row r="15">
      <c r="A15" s="414" t="inlineStr"/>
      <c r="B15" s="414" t="inlineStr">
        <is>
          <t>Elective</t>
        </is>
      </c>
      <c r="C15" s="300" t="inlineStr">
        <is>
          <t>General Free Elective</t>
        </is>
      </c>
      <c r="D15" s="414" t="inlineStr">
        <is>
          <t>Degree Units</t>
        </is>
      </c>
      <c r="E15" s="414" t="inlineStr">
        <is>
          <t>4.0</t>
        </is>
      </c>
      <c r="F15" s="414" t="inlineStr"/>
      <c r="G15" s="414" t="inlineStr"/>
      <c r="H15" s="300" t="inlineStr">
        <is>
          <t>Moved from Fall 2028 to keep 12 units</t>
        </is>
      </c>
    </row>
    <row r="16">
      <c r="A16" s="413" t="inlineStr">
        <is>
          <t>Spring 2028</t>
        </is>
      </c>
      <c r="B16" s="416" t="inlineStr">
        <is>
          <t>BUAD 310</t>
        </is>
      </c>
      <c r="C16" s="298" t="inlineStr">
        <is>
          <t>Applied Business Statistics</t>
        </is>
      </c>
      <c r="D16" s="416" t="inlineStr">
        <is>
          <t>Marshall Core</t>
        </is>
      </c>
      <c r="E16" s="416" t="inlineStr">
        <is>
          <t>4.0</t>
        </is>
      </c>
      <c r="F16" s="416" t="inlineStr">
        <is>
          <t>12.0</t>
        </is>
      </c>
      <c r="G16" s="416" t="inlineStr">
        <is>
          <t>102.0</t>
        </is>
      </c>
      <c r="H16" s="298" t="inlineStr"/>
    </row>
    <row r="17">
      <c r="A17" s="414" t="inlineStr"/>
      <c r="B17" s="414" t="inlineStr">
        <is>
          <t>BUAD 311</t>
        </is>
      </c>
      <c r="C17" s="300" t="inlineStr">
        <is>
          <t>Operations Management</t>
        </is>
      </c>
      <c r="D17" s="414" t="inlineStr">
        <is>
          <t>Marshall Core</t>
        </is>
      </c>
      <c r="E17" s="414" t="inlineStr">
        <is>
          <t>4.0</t>
        </is>
      </c>
      <c r="F17" s="414" t="inlineStr"/>
      <c r="G17" s="414" t="inlineStr"/>
      <c r="H17" s="300" t="inlineStr">
        <is>
          <t>Preferred: Charlie Hannigan (14911 8am MW or 14913 9:30am MW) · RMP 4.7 / diff 2.7 · 2024 Golden Apple · easiest A odds on roster; avoid Takayama if possible (only open sections)</t>
        </is>
      </c>
    </row>
    <row r="18">
      <c r="A18" s="416" t="inlineStr"/>
      <c r="B18" s="416" t="inlineStr">
        <is>
          <t>GE-E Course</t>
        </is>
      </c>
      <c r="C18" s="298" t="inlineStr">
        <is>
          <t>Approved Physical Sciences Course</t>
        </is>
      </c>
      <c r="D18" s="416" t="inlineStr">
        <is>
          <t>GE Category E</t>
        </is>
      </c>
      <c r="E18" s="416" t="inlineStr">
        <is>
          <t>4.0</t>
        </is>
      </c>
      <c r="F18" s="416" t="inlineStr"/>
      <c r="G18" s="416" t="inlineStr"/>
      <c r="H18" s="298" t="inlineStr"/>
    </row>
    <row r="19">
      <c r="A19" s="413" t="inlineStr">
        <is>
          <t>Fall 2028</t>
        </is>
      </c>
      <c r="B19" s="414" t="inlineStr">
        <is>
          <t>BUAD 425</t>
        </is>
      </c>
      <c r="C19" s="300" t="inlineStr">
        <is>
          <t>Data Analysis for Decision Making</t>
        </is>
      </c>
      <c r="D19" s="414" t="inlineStr">
        <is>
          <t>Marshall Core</t>
        </is>
      </c>
      <c r="E19" s="414" t="inlineStr">
        <is>
          <t>2.0</t>
        </is>
      </c>
      <c r="F19" s="414" t="inlineStr">
        <is>
          <t>14.0</t>
        </is>
      </c>
      <c r="G19" s="414" t="inlineStr">
        <is>
          <t>116.0</t>
        </is>
      </c>
      <c r="H19" s="300" t="inlineStr"/>
    </row>
    <row r="20">
      <c r="A20" s="416" t="inlineStr"/>
      <c r="B20" s="416" t="inlineStr">
        <is>
          <t>Elective</t>
        </is>
      </c>
      <c r="C20" s="298" t="inlineStr">
        <is>
          <t>Upper-Division Marshall Elective (1 of 3)</t>
        </is>
      </c>
      <c r="D20" s="416" t="inlineStr">
        <is>
          <t>Major Elective</t>
        </is>
      </c>
      <c r="E20" s="416" t="inlineStr">
        <is>
          <t>4.0</t>
        </is>
      </c>
      <c r="F20" s="416" t="inlineStr"/>
      <c r="G20" s="416" t="inlineStr"/>
      <c r="H20" s="298" t="inlineStr"/>
    </row>
    <row r="21">
      <c r="A21" s="414" t="inlineStr"/>
      <c r="B21" s="414" t="inlineStr">
        <is>
          <t>Elective</t>
        </is>
      </c>
      <c r="C21" s="300" t="inlineStr">
        <is>
          <t>Upper-Division Marshall Elective (2 of 3)</t>
        </is>
      </c>
      <c r="D21" s="414" t="inlineStr">
        <is>
          <t>Major Elective</t>
        </is>
      </c>
      <c r="E21" s="414" t="inlineStr">
        <is>
          <t>4.0</t>
        </is>
      </c>
      <c r="F21" s="414" t="inlineStr"/>
      <c r="G21" s="414" t="inlineStr"/>
      <c r="H21" s="300" t="inlineStr"/>
    </row>
    <row r="22">
      <c r="A22" s="416" t="inlineStr"/>
      <c r="B22" s="416" t="inlineStr">
        <is>
          <t>WRIT 340</t>
        </is>
      </c>
      <c r="C22" s="298" t="inlineStr">
        <is>
          <t>Advanced Writing</t>
        </is>
      </c>
      <c r="D22" s="416" t="inlineStr">
        <is>
          <t>Upper Division Writing</t>
        </is>
      </c>
      <c r="E22" s="416" t="inlineStr">
        <is>
          <t>4.0</t>
        </is>
      </c>
      <c r="F22" s="416" t="inlineStr"/>
      <c r="G22" s="416" t="inlineStr"/>
      <c r="H22" s="298" t="inlineStr">
        <is>
          <t>Moved from Fall 2027 — STARS: still needed</t>
        </is>
      </c>
    </row>
    <row r="23">
      <c r="A23" s="413" t="inlineStr">
        <is>
          <t>Spring 2029</t>
        </is>
      </c>
      <c r="B23" s="414" t="inlineStr">
        <is>
          <t>BUAD 497</t>
        </is>
      </c>
      <c r="C23" s="300" t="inlineStr">
        <is>
          <t>Strategic Management</t>
        </is>
      </c>
      <c r="D23" s="414" t="inlineStr">
        <is>
          <t>Capstone Core</t>
        </is>
      </c>
      <c r="E23" s="414" t="inlineStr">
        <is>
          <t>4.0</t>
        </is>
      </c>
      <c r="F23" s="414" t="inlineStr">
        <is>
          <t>12.0</t>
        </is>
      </c>
      <c r="G23" s="414" t="inlineStr">
        <is>
          <t>128.0</t>
        </is>
      </c>
      <c r="H23" s="300" t="inlineStr"/>
    </row>
    <row r="24">
      <c r="A24" s="416" t="inlineStr"/>
      <c r="B24" s="416" t="inlineStr">
        <is>
          <t>Elective</t>
        </is>
      </c>
      <c r="C24" s="298" t="inlineStr">
        <is>
          <t>Upper-Division Marshall Elective (3 of 3)</t>
        </is>
      </c>
      <c r="D24" s="416" t="inlineStr">
        <is>
          <t>Major Elective</t>
        </is>
      </c>
      <c r="E24" s="416" t="inlineStr">
        <is>
          <t>4.0</t>
        </is>
      </c>
      <c r="F24" s="416" t="inlineStr"/>
      <c r="G24" s="416" t="inlineStr"/>
      <c r="H24" s="298" t="inlineStr"/>
    </row>
    <row r="25">
      <c r="A25" s="414" t="inlineStr"/>
      <c r="B25" s="414" t="inlineStr">
        <is>
          <t>Elective</t>
        </is>
      </c>
      <c r="C25" s="300" t="inlineStr">
        <is>
          <t>General Free Elective</t>
        </is>
      </c>
      <c r="D25" s="414" t="inlineStr">
        <is>
          <t>Degree Units</t>
        </is>
      </c>
      <c r="E25" s="414" t="inlineStr">
        <is>
          <t>4.0</t>
        </is>
      </c>
      <c r="F25" s="414" t="inlineStr"/>
      <c r="G25" s="414" t="inlineStr"/>
      <c r="H25" s="300" t="inlineStr"/>
    </row>
  </sheetData>
  <mergeCells count="3">
    <mergeCell ref="A1:I1"/>
    <mergeCell ref="A3:I3"/>
    <mergeCell ref="A2:I2"/>
  </mergeCells>
  <pageMargins left="0.75" right="0.75" top="1" bottom="1" header="0.5" footer="0.5"/>
</worksheet>
</file>

<file path=xl/worksheets/sheet3.xml><?xml version="1.0" encoding="utf-8"?>
<worksheet xmlns="http://schemas.openxmlformats.org/spreadsheetml/2006/main">
  <sheetPr>
    <tabColor rgb="00FF7F0E"/>
    <outlinePr summaryBelow="1" summaryRight="1"/>
    <pageSetUpPr/>
  </sheetPr>
  <dimension ref="A1:G49"/>
  <sheetViews>
    <sheetView workbookViewId="0">
      <pane ySplit="17" topLeftCell="A18"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48" t="inlineStr">
        <is>
          <t>ANTH-202 — Archaeology: Our Human Past</t>
        </is>
      </c>
    </row>
    <row r="2" ht="40" customHeight="1">
      <c r="A2" s="28">
        <f>HYPERLINK("https://raw.githubusercontent.com/vengeanceaiUSC/Syllabus-/cursor/add-syllabus-dissector-skill-a676/output/sources/anth-202-source.pdf","SEE HERE")</f>
        <v/>
      </c>
    </row>
    <row r="3">
      <c r="A3" s="29" t="inlineStr">
        <is>
          <t>Instructor</t>
        </is>
      </c>
      <c r="B3" t="inlineStr">
        <is>
          <t>Tracie Mayfield</t>
        </is>
      </c>
    </row>
    <row r="4">
      <c r="A4" s="29" t="inlineStr">
        <is>
          <t>Term</t>
        </is>
      </c>
      <c r="B4" t="inlineStr">
        <is>
          <t>Fall 2026</t>
        </is>
      </c>
    </row>
    <row r="5">
      <c r="A5" s="29" t="inlineStr">
        <is>
          <t>Format</t>
        </is>
      </c>
      <c r="B5" t="inlineStr">
        <is>
          <t>Hybrid — mostly in-person (not a virtual/online-only class)</t>
        </is>
      </c>
    </row>
    <row r="6">
      <c r="A6" s="29" t="inlineStr">
        <is>
          <t>Meetings</t>
        </is>
      </c>
      <c r="B6" t="inlineStr">
        <is>
          <t>Lectures Tue/Thu 2:00–3:20pm GFS 106; lab/discussion Tue 8/9/10/11am GFS 223 (assigned section). Quizzes &amp; exams online via Brightspace; some film weeks async; Week 12 Thu lecture on Zoom.</t>
        </is>
      </c>
    </row>
    <row r="7">
      <c r="A7" s="29" t="inlineStr">
        <is>
          <t>Required for an A</t>
        </is>
      </c>
      <c r="B7" s="30" t="inlineStr">
        <is>
          <t>N/A</t>
        </is>
      </c>
    </row>
    <row r="8">
      <c r="A8" s="29" t="inlineStr">
        <is>
          <t>Grading scale</t>
        </is>
      </c>
      <c r="B8" t="inlineStr">
        <is>
          <t>Letter grade scale not listed in syllabus; use grade calculator (https://www.rapidtables.com/calc/grade/grade-calculator.html). Instructor may bump grade near cutoff if extra credit ≥90%, strong participation, on-time work, and attendance above minimum.</t>
        </is>
      </c>
    </row>
    <row r="9" ht="28" customHeight="1">
      <c r="A9" s="49" t="inlineStr">
        <is>
          <t>Final Paper 29%  |  Midterm Exam 20%  |  Final Exam 20%  |  Attendance and Participation 15%  |  Weekly Quizzes 8%  |  USC Archaeology Center Field Trip 2%  |  Peer Review 1 (Topic) 2%  |  Peer Review 2 (Opening &amp; Bibliography) 2%  |  Research Design Worksheet 1 (Topic) 1%  |  Research Design Worksheet 2 (Opening &amp; Bibliography) 1%</t>
        </is>
      </c>
    </row>
    <row r="10" ht="28" customHeight="1">
      <c r="A10" s="29" t="inlineStr">
        <is>
          <t>RMP summary</t>
        </is>
      </c>
      <c r="B10" s="361" t="inlineStr">
        <is>
          <t>Tracie Mayfield · RMP 4.6/5 quality · 2.1/5 difficulty · 82% would take again · 43 ratings · self-reported avg grade A- (3.93 GPA, n=27). Strong GE-C pick for Spring 2027.</t>
        </is>
      </c>
    </row>
    <row r="11" ht="42" customHeight="1">
      <c r="A11" s="29" t="inlineStr">
        <is>
          <t>Midterm &amp; exams (syllabus)</t>
        </is>
      </c>
      <c r="B11" s="362" t="inlineStr">
        <is>
          <t>Online, open book/notes (Oct week). 20–25 MC/T-F — most questions come directly from weekly quizzes. 2 short essays (500–800 words); graded on synthesis + course connections, not word count. Weekly quizzes = best exam prep (unlimited retakes, lowest 3 dropped). AI fluff penalized.</t>
        </is>
      </c>
    </row>
    <row r="12" ht="56" customHeight="1">
      <c r="A12" s="29" t="inlineStr">
        <is>
          <t>Final paper (syllabus)</t>
        </is>
      </c>
      <c r="B12" s="362" t="inlineStr">
        <is>
          <t>29% analytical case-study paper built in stages: Research Design Worksheet 1 (topic) → peer review → Worksheet 2 (opening + bibliography) → peer review → final submission. Won't review full drafts; will comment on specific sections if submitted early (1+ week before deadline). Grades synthesis, archaeology terminology, course engagement — not summaries.</t>
        </is>
      </c>
    </row>
    <row r="13" ht="56" customHeight="1">
      <c r="A13" s="29" t="inlineStr">
        <is>
          <t>RMP — midterm prep</t>
        </is>
      </c>
      <c r="B13" s="361" t="inlineStr">
        <is>
          <t>• (2025-06, A) "prepare everyone for the final paper and online exams" · (2023-01, ANTH201 TA) "prepared us SO WELL for the exams (online &amp; open-note)" · (2020-11) "No surprises in MC and test (we go over everything)" · (2023-12, A+) "midterm and final open notes, book, google — super doable if you take notes" · (2020-11) "As for exams we go over it during class so no stress"</t>
        </is>
      </c>
    </row>
    <row r="14" ht="112" customHeight="1">
      <c r="A14" s="29" t="inlineStr">
        <is>
          <t>RMP — essay / paper ease</t>
        </is>
      </c>
      <c r="B14" s="361" t="inlineStr">
        <is>
          <t>• (2026-05, A) "two exams… and an essay spread over several weeks, topic is your choice — easy A if you put in effort" · (2021-04, A+) "makes all assignments, tests, papers very straightforward" · (2020-11) "I wrote my final paper around urban studies" · (2020-05) "Basically one final paper and its drafts… pretty easy GE" · (2023-12) "One 7–8 page double spaced paper" · (2020-06) "12 page paper… open note exams" · (2019, ANTH263G) "grades easily but invested in making sure you know the topic" · (2021-12, ANTH201) "easy on grading, attendance, etc." · (2020-11) "Mayfield can turn your grade to be fine" (A) · (2024-12, GESM) "grades leniently" on midterm, final, final project</t>
        </is>
      </c>
    </row>
    <row r="15" ht="56" customHeight="1">
      <c r="A15" s="29" t="inlineStr">
        <is>
          <t>RMP — negative outliers</t>
        </is>
      </c>
      <c r="B15" s="361" t="inlineStr">
        <is>
          <t>• (2026-02) "Tough grader" / "harsh grader" / "do not take for easy A" (open-note exams still require knowing content) · (2026-02-03) "overly demanding/harsh grader" · (2025-05) "Tough grader" tag but "you'll probably do fine" if you keep up · Net: fair/lenient if you follow worksheets + start paper early; not zero-effort.</t>
        </is>
      </c>
    </row>
    <row r="17">
      <c r="A17" s="51" t="inlineStr">
        <is>
          <t>Category</t>
        </is>
      </c>
      <c r="B17" s="51" t="inlineStr">
        <is>
          <t>Weight</t>
        </is>
      </c>
      <c r="C17" s="51" t="inlineStr">
        <is>
          <t>Start Date</t>
        </is>
      </c>
      <c r="D17" s="51" t="inlineStr">
        <is>
          <t>Due Date</t>
        </is>
      </c>
      <c r="E17" s="51" t="inlineStr">
        <is>
          <t>Status</t>
        </is>
      </c>
      <c r="F17" s="51" t="inlineStr">
        <is>
          <t>Group Project</t>
        </is>
      </c>
      <c r="G17" s="51" t="inlineStr">
        <is>
          <t>Details</t>
        </is>
      </c>
    </row>
    <row r="18">
      <c r="A18" s="52" t="inlineStr">
        <is>
          <t>Final Paper</t>
        </is>
      </c>
      <c r="B18" s="372" t="inlineStr">
        <is>
          <t>29%</t>
        </is>
      </c>
      <c r="C18" s="373" t="inlineStr"/>
      <c r="D18" s="373" t="inlineStr">
        <is>
          <t>2026-12-04</t>
        </is>
      </c>
      <c r="E18" s="373" t="inlineStr"/>
      <c r="F18" s="373" t="inlineStr">
        <is>
          <t>No</t>
        </is>
      </c>
      <c r="G18" s="55">
        <f>HYPERLINK("https://raw.githubusercontent.com/vengeanceaiUSC/Syllabus-/cursor/add-syllabus-dissector-skill-a676/output/documents/anth-202-final-paper.pdf","Open PDF")</f>
        <v/>
      </c>
    </row>
    <row r="19">
      <c r="A19" s="254" t="inlineStr">
        <is>
          <t>Assignment</t>
        </is>
      </c>
      <c r="B19" s="374" t="inlineStr"/>
      <c r="C19" s="374" t="inlineStr"/>
      <c r="D19" s="374" t="inlineStr">
        <is>
          <t>2026-12-04</t>
        </is>
      </c>
      <c r="E19" s="374" t="inlineStr"/>
      <c r="F19" s="374" t="inlineStr"/>
      <c r="G19" s="58" t="inlineStr">
        <is>
          <t>Analytical case study final paper — due Fri 7pm (hard deadline Dec 8 11:59pm study days)</t>
        </is>
      </c>
    </row>
    <row r="20">
      <c r="A20" s="59" t="inlineStr">
        <is>
          <t>Midterm Exam</t>
        </is>
      </c>
      <c r="B20" s="372" t="inlineStr">
        <is>
          <t>20%</t>
        </is>
      </c>
      <c r="C20" s="375" t="inlineStr"/>
      <c r="D20" s="375" t="inlineStr">
        <is>
          <t>2026-10-13</t>
        </is>
      </c>
      <c r="E20" s="375" t="inlineStr"/>
      <c r="F20" s="375" t="inlineStr">
        <is>
          <t>No</t>
        </is>
      </c>
      <c r="G20" s="61">
        <f>HYPERLINK("https://raw.githubusercontent.com/vengeanceaiUSC/Syllabus-/cursor/add-syllabus-dissector-skill-a676/output/documents/anth-202-midterm-exam.pdf","Open PDF")</f>
        <v/>
      </c>
    </row>
    <row r="21">
      <c r="A21" s="56" t="inlineStr">
        <is>
          <t>Exam</t>
        </is>
      </c>
      <c r="B21" s="374" t="inlineStr"/>
      <c r="C21" s="374" t="inlineStr"/>
      <c r="D21" s="374" t="inlineStr">
        <is>
          <t>2026-10-13</t>
        </is>
      </c>
      <c r="E21" s="374" t="inlineStr"/>
      <c r="F21" s="374" t="inlineStr"/>
      <c r="G21" s="58" t="inlineStr">
        <is>
          <t>Midterm Exam — online open-book via Brightspace (Oct 13, 2:00–3:20pm window)</t>
        </is>
      </c>
    </row>
    <row r="22">
      <c r="A22" s="52" t="inlineStr">
        <is>
          <t>Final Exam</t>
        </is>
      </c>
      <c r="B22" s="372" t="inlineStr">
        <is>
          <t>20%</t>
        </is>
      </c>
      <c r="C22" s="373" t="inlineStr"/>
      <c r="D22" s="373" t="inlineStr">
        <is>
          <t>2026-12-10</t>
        </is>
      </c>
      <c r="E22" s="373" t="inlineStr"/>
      <c r="F22" s="373" t="inlineStr">
        <is>
          <t>No</t>
        </is>
      </c>
      <c r="G22" s="55">
        <f>HYPERLINK("https://raw.githubusercontent.com/vengeanceaiUSC/Syllabus-/cursor/add-syllabus-dissector-skill-a676/output/documents/anth-202-final-exam.pdf","Open PDF")</f>
        <v/>
      </c>
    </row>
    <row r="23">
      <c r="A23" s="56" t="inlineStr">
        <is>
          <t>Exam</t>
        </is>
      </c>
      <c r="B23" s="374" t="inlineStr"/>
      <c r="C23" s="374" t="inlineStr"/>
      <c r="D23" s="374" t="inlineStr">
        <is>
          <t>2026-12-10</t>
        </is>
      </c>
      <c r="E23" s="374" t="inlineStr"/>
      <c r="F23" s="374" t="inlineStr"/>
      <c r="G23" s="58" t="inlineStr">
        <is>
          <t>Final Exam — online open-book via Brightspace (Dec 10, 2:00–4:00pm window; not cumulative)</t>
        </is>
      </c>
    </row>
    <row r="24">
      <c r="A24" s="59" t="inlineStr">
        <is>
          <t>Attendance and Participation</t>
        </is>
      </c>
      <c r="B24" s="372" t="inlineStr">
        <is>
          <t>15%</t>
        </is>
      </c>
      <c r="C24" s="375" t="inlineStr">
        <is>
          <t>2026-08-24</t>
        </is>
      </c>
      <c r="D24" s="375" t="inlineStr">
        <is>
          <t>2026-12-10</t>
        </is>
      </c>
      <c r="E24" s="375" t="inlineStr"/>
      <c r="F24" s="375" t="inlineStr">
        <is>
          <t>No</t>
        </is>
      </c>
      <c r="G24" s="61">
        <f>HYPERLINK("https://raw.githubusercontent.com/vengeanceaiUSC/Syllabus-/cursor/add-syllabus-dissector-skill-a676/output/documents/anth-202-attendance-and-participation.pdf","Open PDF")</f>
        <v/>
      </c>
    </row>
    <row r="25">
      <c r="A25" s="254" t="inlineStr">
        <is>
          <t>Assignment</t>
        </is>
      </c>
      <c r="B25" s="374" t="inlineStr"/>
      <c r="C25" s="374" t="inlineStr">
        <is>
          <t>2026-08-24</t>
        </is>
      </c>
      <c r="D25" s="374" t="inlineStr">
        <is>
          <t>2026-12-10</t>
        </is>
      </c>
      <c r="E25" s="374" t="inlineStr"/>
      <c r="F25" s="374" t="inlineStr"/>
      <c r="G25" s="58" t="inlineStr">
        <is>
          <t>Attendance &amp; participation — 24 of 30 classes for full credit (6 absences excused)</t>
        </is>
      </c>
    </row>
    <row r="26">
      <c r="A26" s="52" t="inlineStr">
        <is>
          <t>Weekly Quizzes</t>
        </is>
      </c>
      <c r="B26" s="372" t="inlineStr">
        <is>
          <t>8%</t>
        </is>
      </c>
      <c r="C26" s="373" t="inlineStr"/>
      <c r="D26" s="373" t="inlineStr">
        <is>
          <t>2026-11-20</t>
        </is>
      </c>
      <c r="E26" s="373" t="inlineStr"/>
      <c r="F26" s="373" t="inlineStr">
        <is>
          <t>No</t>
        </is>
      </c>
      <c r="G26" s="55">
        <f>HYPERLINK("https://raw.githubusercontent.com/vengeanceaiUSC/Syllabus-/cursor/add-syllabus-dissector-skill-a676/output/documents/anth-202-weekly-quizzes.pdf","Open PDF")</f>
        <v/>
      </c>
    </row>
    <row r="27">
      <c r="A27" s="63" t="inlineStr">
        <is>
          <t>Homework</t>
        </is>
      </c>
      <c r="B27" s="374" t="inlineStr"/>
      <c r="C27" s="374" t="inlineStr"/>
      <c r="D27" s="374" t="inlineStr">
        <is>
          <t>2026-09-04</t>
        </is>
      </c>
      <c r="E27" s="374" t="inlineStr"/>
      <c r="F27" s="374" t="inlineStr"/>
      <c r="G27" s="58" t="inlineStr">
        <is>
          <t>Week 2 quiz — Welcome! Course overview &amp; instructor introduction. (due Fri 7pm Brightspace)</t>
        </is>
      </c>
    </row>
    <row r="28">
      <c r="A28" s="63" t="inlineStr">
        <is>
          <t>Homework</t>
        </is>
      </c>
      <c r="B28" s="374" t="inlineStr"/>
      <c r="C28" s="374" t="inlineStr"/>
      <c r="D28" s="374" t="inlineStr">
        <is>
          <t>2026-09-11</t>
        </is>
      </c>
      <c r="E28" s="374" t="inlineStr"/>
      <c r="F28" s="374" t="inlineStr"/>
      <c r="G28" s="58" t="inlineStr">
        <is>
          <t>Week 3 quiz — The Principles of Archaeology &amp; What is Anthropology? (due Fri 7pm Brightspace)</t>
        </is>
      </c>
    </row>
    <row r="29">
      <c r="A29" s="63" t="inlineStr">
        <is>
          <t>Homework</t>
        </is>
      </c>
      <c r="B29" s="374" t="inlineStr"/>
      <c r="C29" s="374" t="inlineStr"/>
      <c r="D29" s="374" t="inlineStr">
        <is>
          <t>2026-09-18</t>
        </is>
      </c>
      <c r="E29" s="374" t="inlineStr"/>
      <c r="F29" s="374" t="inlineStr"/>
      <c r="G29" s="58" t="inlineStr">
        <is>
          <t>Week 4 quiz — The History of Archaeology, Our Earliest Ancestors, Data Sampling Stra (due Fri 7pm Brightspace)</t>
        </is>
      </c>
    </row>
    <row r="30">
      <c r="A30" s="63" t="inlineStr">
        <is>
          <t>Homework</t>
        </is>
      </c>
      <c r="B30" s="374" t="inlineStr"/>
      <c r="C30" s="374" t="inlineStr"/>
      <c r="D30" s="374" t="inlineStr">
        <is>
          <t>2026-09-25</t>
        </is>
      </c>
      <c r="E30" s="374" t="inlineStr"/>
      <c r="F30" s="374" t="inlineStr"/>
      <c r="G30" s="58" t="inlineStr">
        <is>
          <t>Week 5 quiz — Making a Living-Foraging to Agriculture &amp; The Paleolithic (due Fri 7pm Brightspace)</t>
        </is>
      </c>
    </row>
    <row r="31">
      <c r="A31" s="63" t="inlineStr">
        <is>
          <t>Homework</t>
        </is>
      </c>
      <c r="B31" s="374" t="inlineStr"/>
      <c r="C31" s="374" t="inlineStr"/>
      <c r="D31" s="374" t="inlineStr">
        <is>
          <t>2026-10-02</t>
        </is>
      </c>
      <c r="E31" s="374" t="inlineStr"/>
      <c r="F31" s="374" t="inlineStr"/>
      <c r="G31" s="58" t="inlineStr">
        <is>
          <t>Week 6 quiz — Making a Living-Foraging to Agriculture &amp; The Paleolithic (due Fri 7pm Brightspace)</t>
        </is>
      </c>
    </row>
    <row r="32">
      <c r="A32" s="63" t="inlineStr">
        <is>
          <t>Homework</t>
        </is>
      </c>
      <c r="B32" s="374" t="inlineStr"/>
      <c r="C32" s="374" t="inlineStr"/>
      <c r="D32" s="374" t="inlineStr">
        <is>
          <t>2026-10-23</t>
        </is>
      </c>
      <c r="E32" s="374" t="inlineStr"/>
      <c r="F32" s="374" t="inlineStr"/>
      <c r="G32" s="58" t="inlineStr">
        <is>
          <t>Week 9 quiz — Week 8 (ONLINE) MIDTERM EXAM NO QUIZ THIS WEEK (due Fri 7pm Brightspace)</t>
        </is>
      </c>
    </row>
    <row r="33">
      <c r="A33" s="63" t="inlineStr">
        <is>
          <t>Homework</t>
        </is>
      </c>
      <c r="B33" s="374" t="inlineStr"/>
      <c r="C33" s="374" t="inlineStr"/>
      <c r="D33" s="374" t="inlineStr">
        <is>
          <t>2026-10-30</t>
        </is>
      </c>
      <c r="E33" s="374" t="inlineStr"/>
      <c r="F33" s="374" t="inlineStr"/>
      <c r="G33" s="58" t="inlineStr">
        <is>
          <t>Week 10 quiz — States and Empires in Asia and Africa (continued) (due Fri 7pm Brightspace)</t>
        </is>
      </c>
    </row>
    <row r="34">
      <c r="A34" s="63" t="inlineStr">
        <is>
          <t>Homework</t>
        </is>
      </c>
      <c r="B34" s="374" t="inlineStr"/>
      <c r="C34" s="374" t="inlineStr"/>
      <c r="D34" s="374" t="inlineStr">
        <is>
          <t>2026-11-06</t>
        </is>
      </c>
      <c r="E34" s="374" t="inlineStr"/>
      <c r="F34" s="374" t="inlineStr"/>
      <c r="G34" s="58" t="inlineStr">
        <is>
          <t>Week 11 quiz — States and Empires in Asia and Africa (continued) (due Fri 7pm Brightspace)</t>
        </is>
      </c>
    </row>
    <row r="35">
      <c r="A35" s="63" t="inlineStr">
        <is>
          <t>Homework</t>
        </is>
      </c>
      <c r="B35" s="374" t="inlineStr"/>
      <c r="C35" s="374" t="inlineStr"/>
      <c r="D35" s="374" t="inlineStr">
        <is>
          <t>2026-11-13</t>
        </is>
      </c>
      <c r="E35" s="374" t="inlineStr"/>
      <c r="F35" s="374" t="inlineStr"/>
      <c r="G35" s="58" t="inlineStr">
        <is>
          <t>Week 12 quiz — Putting It All Together: From Research Questions to Research Outcomes (due Fri 7pm Brightspace)</t>
        </is>
      </c>
    </row>
    <row r="36">
      <c r="A36" s="63" t="inlineStr">
        <is>
          <t>Homework</t>
        </is>
      </c>
      <c r="B36" s="374" t="inlineStr"/>
      <c r="C36" s="374" t="inlineStr"/>
      <c r="D36" s="374" t="inlineStr">
        <is>
          <t>2026-11-20</t>
        </is>
      </c>
      <c r="E36" s="374" t="inlineStr"/>
      <c r="F36" s="374" t="inlineStr"/>
      <c r="G36" s="58" t="inlineStr">
        <is>
          <t>Week 13 quiz — FILM DAY 3 – Authenticity, Tourism, &amp; Heritage Studies (due Fri 7pm Brightspace)</t>
        </is>
      </c>
    </row>
    <row r="37">
      <c r="A37" s="59" t="inlineStr">
        <is>
          <t>USC Archaeology Center Field Trip</t>
        </is>
      </c>
      <c r="B37" s="372" t="inlineStr">
        <is>
          <t>2%</t>
        </is>
      </c>
      <c r="C37" s="375" t="inlineStr"/>
      <c r="D37" s="375" t="inlineStr">
        <is>
          <t>2026-11-03</t>
        </is>
      </c>
      <c r="E37" s="375" t="inlineStr"/>
      <c r="F37" s="375" t="inlineStr">
        <is>
          <t>No</t>
        </is>
      </c>
      <c r="G37" s="61">
        <f>HYPERLINK("https://raw.githubusercontent.com/vengeanceaiUSC/Syllabus-/cursor/add-syllabus-dissector-skill-a676/output/documents/anth-202-usc-archaeology-center-field-trip.pdf","Open PDF")</f>
        <v/>
      </c>
    </row>
    <row r="38">
      <c r="A38" s="254" t="inlineStr">
        <is>
          <t>Assignment</t>
        </is>
      </c>
      <c r="B38" s="374" t="inlineStr"/>
      <c r="C38" s="374" t="inlineStr"/>
      <c r="D38" s="374" t="inlineStr">
        <is>
          <t>2026-11-03</t>
        </is>
      </c>
      <c r="E38" s="374" t="inlineStr"/>
      <c r="F38" s="374" t="inlineStr"/>
      <c r="G38" s="58" t="inlineStr">
        <is>
          <t>USC Archaeology Center field trip — lab section Nov 3 (ACB 330)</t>
        </is>
      </c>
    </row>
    <row r="39">
      <c r="A39" s="52" t="inlineStr">
        <is>
          <t>Peer Review 1 (Topic)</t>
        </is>
      </c>
      <c r="B39" s="372" t="inlineStr">
        <is>
          <t>2%</t>
        </is>
      </c>
      <c r="C39" s="373" t="inlineStr"/>
      <c r="D39" s="373" t="inlineStr">
        <is>
          <t>2026-10-02</t>
        </is>
      </c>
      <c r="E39" s="373" t="inlineStr"/>
      <c r="F39" s="373" t="inlineStr">
        <is>
          <t>No</t>
        </is>
      </c>
      <c r="G39" s="55">
        <f>HYPERLINK("https://raw.githubusercontent.com/vengeanceaiUSC/Syllabus-/cursor/add-syllabus-dissector-skill-a676/output/documents/anth-202-peer-review-1-topic.pdf","Open PDF")</f>
        <v/>
      </c>
    </row>
    <row r="40">
      <c r="A40" s="254" t="inlineStr">
        <is>
          <t>Assignment</t>
        </is>
      </c>
      <c r="B40" s="374" t="inlineStr"/>
      <c r="C40" s="374" t="inlineStr"/>
      <c r="D40" s="374" t="inlineStr">
        <is>
          <t>2026-10-02</t>
        </is>
      </c>
      <c r="E40" s="374" t="inlineStr"/>
      <c r="F40" s="374" t="inlineStr"/>
      <c r="G40" s="58" t="inlineStr">
        <is>
          <t>Peer Review Workshop 1 (Topic) — discussion board + comment list</t>
        </is>
      </c>
    </row>
    <row r="41">
      <c r="A41" s="59" t="inlineStr">
        <is>
          <t>Peer Review 2 (Opening &amp; Bibliography)</t>
        </is>
      </c>
      <c r="B41" s="372" t="inlineStr">
        <is>
          <t>2%</t>
        </is>
      </c>
      <c r="C41" s="375" t="inlineStr"/>
      <c r="D41" s="375" t="inlineStr">
        <is>
          <t>2026-11-20</t>
        </is>
      </c>
      <c r="E41" s="375" t="inlineStr"/>
      <c r="F41" s="375" t="inlineStr">
        <is>
          <t>No</t>
        </is>
      </c>
      <c r="G41" s="61">
        <f>HYPERLINK("https://raw.githubusercontent.com/vengeanceaiUSC/Syllabus-/cursor/add-syllabus-dissector-skill-a676/output/documents/anth-202-peer-review-2-opening-bibliography.pdf","Open PDF")</f>
        <v/>
      </c>
    </row>
    <row r="42">
      <c r="A42" s="254" t="inlineStr">
        <is>
          <t>Assignment</t>
        </is>
      </c>
      <c r="B42" s="374" t="inlineStr"/>
      <c r="C42" s="374" t="inlineStr"/>
      <c r="D42" s="374" t="inlineStr">
        <is>
          <t>2026-11-20</t>
        </is>
      </c>
      <c r="E42" s="374" t="inlineStr"/>
      <c r="F42" s="374" t="inlineStr"/>
      <c r="G42" s="58" t="inlineStr">
        <is>
          <t>Peer Review Workshop 2 (Opening paragraph &amp; bibliography)</t>
        </is>
      </c>
    </row>
    <row r="43">
      <c r="A43" s="52" t="inlineStr">
        <is>
          <t>Research Design Worksheet 1 (Topic)</t>
        </is>
      </c>
      <c r="B43" s="372" t="inlineStr">
        <is>
          <t>1%</t>
        </is>
      </c>
      <c r="C43" s="373" t="inlineStr"/>
      <c r="D43" s="373" t="inlineStr">
        <is>
          <t>2026-09-25</t>
        </is>
      </c>
      <c r="E43" s="373" t="inlineStr"/>
      <c r="F43" s="373" t="inlineStr">
        <is>
          <t>No</t>
        </is>
      </c>
      <c r="G43" s="55">
        <f>HYPERLINK("https://raw.githubusercontent.com/vengeanceaiUSC/Syllabus-/cursor/add-syllabus-dissector-skill-a676/output/documents/anth-202-research-design-worksheet-1-topic.pdf","Open PDF")</f>
        <v/>
      </c>
    </row>
    <row r="44">
      <c r="A44" s="254" t="inlineStr">
        <is>
          <t>Assignment</t>
        </is>
      </c>
      <c r="B44" s="374" t="inlineStr"/>
      <c r="C44" s="374" t="inlineStr"/>
      <c r="D44" s="374" t="inlineStr">
        <is>
          <t>2026-09-25</t>
        </is>
      </c>
      <c r="E44" s="374" t="inlineStr"/>
      <c r="F44" s="374" t="inlineStr"/>
      <c r="G44" s="58" t="inlineStr">
        <is>
          <t>Research Design Worksheet 1 (Topic) — submit via Brightspace</t>
        </is>
      </c>
    </row>
    <row r="45">
      <c r="A45" s="59" t="inlineStr">
        <is>
          <t>Research Design Worksheet 2 (Opening &amp; Bibliography)</t>
        </is>
      </c>
      <c r="B45" s="372" t="inlineStr">
        <is>
          <t>1%</t>
        </is>
      </c>
      <c r="C45" s="375" t="inlineStr"/>
      <c r="D45" s="375" t="inlineStr">
        <is>
          <t>2026-11-13</t>
        </is>
      </c>
      <c r="E45" s="375" t="inlineStr"/>
      <c r="F45" s="375" t="inlineStr">
        <is>
          <t>No</t>
        </is>
      </c>
      <c r="G45" s="61">
        <f>HYPERLINK("https://raw.githubusercontent.com/vengeanceaiUSC/Syllabus-/cursor/add-syllabus-dissector-skill-a676/output/documents/anth-202-research-design-worksheet-2-opening-bibliography.pdf","Open PDF")</f>
        <v/>
      </c>
    </row>
    <row r="46">
      <c r="A46" s="254" t="inlineStr">
        <is>
          <t>Assignment</t>
        </is>
      </c>
      <c r="B46" s="374" t="inlineStr"/>
      <c r="C46" s="374" t="inlineStr"/>
      <c r="D46" s="374" t="inlineStr">
        <is>
          <t>2026-11-13</t>
        </is>
      </c>
      <c r="E46" s="374" t="inlineStr"/>
      <c r="F46" s="374" t="inlineStr"/>
      <c r="G46" s="58" t="inlineStr">
        <is>
          <t>Research Design Worksheet 2 (Opening paragraph &amp; bibliography)</t>
        </is>
      </c>
    </row>
    <row r="47">
      <c r="A47" s="52" t="inlineStr">
        <is>
          <t>Extra Credit</t>
        </is>
      </c>
      <c r="B47" s="372" t="inlineStr">
        <is>
          <t>—</t>
        </is>
      </c>
      <c r="C47" s="373" t="inlineStr"/>
      <c r="D47" s="373" t="inlineStr">
        <is>
          <t>2026-12-08</t>
        </is>
      </c>
      <c r="E47" s="373" t="inlineStr"/>
      <c r="F47" s="373" t="inlineStr">
        <is>
          <t>No</t>
        </is>
      </c>
      <c r="G47" s="55">
        <f>HYPERLINK("https://raw.githubusercontent.com/vengeanceaiUSC/Syllabus-/cursor/add-syllabus-dissector-skill-a676/output/documents/anth-202-extra-credit.pdf","Open PDF")</f>
        <v/>
      </c>
    </row>
    <row r="48">
      <c r="A48" s="254" t="inlineStr">
        <is>
          <t>Assignment</t>
        </is>
      </c>
      <c r="B48" s="374" t="inlineStr"/>
      <c r="C48" s="374" t="inlineStr"/>
      <c r="D48" s="374" t="inlineStr">
        <is>
          <t>2026-12-08</t>
        </is>
      </c>
      <c r="E48" s="374" t="inlineStr"/>
      <c r="F48" s="374" t="inlineStr"/>
      <c r="G48" s="58" t="inlineStr">
        <is>
          <t>Extra credit — NHM exhibitions comparative analysis (up to +3 course points)</t>
        </is>
      </c>
    </row>
    <row r="49">
      <c r="A49" s="29" t="inlineStr">
        <is>
          <t>Total</t>
        </is>
      </c>
      <c r="B49" s="65" t="inlineStr">
        <is>
          <t>100%</t>
        </is>
      </c>
    </row>
  </sheetData>
  <mergeCells count="14">
    <mergeCell ref="B3:G3"/>
    <mergeCell ref="B10:G10"/>
    <mergeCell ref="A1:G1"/>
    <mergeCell ref="A9:G9"/>
    <mergeCell ref="B5:G5"/>
    <mergeCell ref="B14:G14"/>
    <mergeCell ref="B8:G8"/>
    <mergeCell ref="B4:G4"/>
    <mergeCell ref="A2:G2"/>
    <mergeCell ref="B12:G12"/>
    <mergeCell ref="B13:G13"/>
    <mergeCell ref="B15:G15"/>
    <mergeCell ref="B11:G11"/>
    <mergeCell ref="B6:G6"/>
  </mergeCells>
  <pageMargins left="0.75" right="0.75" top="1" bottom="1" header="0.5" footer="0.5"/>
</worksheet>
</file>

<file path=xl/worksheets/sheet4.xml><?xml version="1.0" encoding="utf-8"?>
<worksheet xmlns="http://schemas.openxmlformats.org/spreadsheetml/2006/main">
  <sheetPr>
    <tabColor rgb="00FF7F0E"/>
    <outlinePr summaryBelow="1" summaryRight="1"/>
    <pageSetUpPr/>
  </sheetPr>
  <dimension ref="A1:G48"/>
  <sheetViews>
    <sheetView workbookViewId="0">
      <pane ySplit="10" topLeftCell="A11"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48" t="inlineStr">
        <is>
          <t>BUAD-281 — Managerial Accounting</t>
        </is>
      </c>
    </row>
    <row r="2" ht="40" customHeight="1">
      <c r="A2" s="28">
        <f>HYPERLINK("https://raw.githubusercontent.com/vengeanceaiUSC/Syllabus-/cursor/add-syllabus-dissector-skill-a676/output/sources/buad-281-source.pdf","SEE HERE")</f>
        <v/>
      </c>
    </row>
    <row r="3">
      <c r="A3" s="29" t="inlineStr">
        <is>
          <t>Instructor</t>
        </is>
      </c>
      <c r="B3" t="inlineStr">
        <is>
          <t>George Braunegg</t>
        </is>
      </c>
    </row>
    <row r="4">
      <c r="A4" s="29" t="inlineStr">
        <is>
          <t>Term</t>
        </is>
      </c>
      <c r="B4" t="inlineStr">
        <is>
          <t>Fall 2026</t>
        </is>
      </c>
    </row>
    <row r="5">
      <c r="A5" s="29" t="inlineStr">
        <is>
          <t>Required for an A</t>
        </is>
      </c>
      <c r="B5" s="30" t="inlineStr">
        <is>
          <t>N/A</t>
        </is>
      </c>
    </row>
    <row r="6">
      <c r="A6" s="29" t="inlineStr">
        <is>
          <t>Grading scale</t>
        </is>
      </c>
      <c r="B6" t="inlineStr">
        <is>
          <t>Total graded points in calendar: 1070 (letter scale not in document)</t>
        </is>
      </c>
    </row>
    <row r="7" ht="28" customHeight="1">
      <c r="A7" s="49" t="inlineStr">
        <is>
          <t>Midterm 1 250 pts  |  Midterm 2 250 pts  |  Final Exam 250 pts  |  Homework 170 pts  |  LinkedIn Learning Excel Certification 75 pts  |  Stukent Simternship 75 pts</t>
        </is>
      </c>
    </row>
    <row r="8" ht="48" customHeight="1">
      <c r="A8" s="29" t="inlineStr">
        <is>
          <t>Strategy</t>
        </is>
      </c>
      <c r="B8" s="50" t="inlineStr">
        <is>
          <t>If your AI tool breaks down and solves the homework bank problems - extracting step-by-step mechanics from the textbook - mastering those exact mechanics is all you need to get an A without reading prose.</t>
        </is>
      </c>
    </row>
    <row r="10">
      <c r="A10" s="51" t="inlineStr">
        <is>
          <t>Category</t>
        </is>
      </c>
      <c r="B10" s="51" t="inlineStr">
        <is>
          <t>Weight</t>
        </is>
      </c>
      <c r="C10" s="51" t="inlineStr">
        <is>
          <t>Start Date</t>
        </is>
      </c>
      <c r="D10" s="51" t="inlineStr">
        <is>
          <t>Due Date</t>
        </is>
      </c>
      <c r="E10" s="51" t="inlineStr">
        <is>
          <t>Status</t>
        </is>
      </c>
      <c r="F10" s="51" t="inlineStr">
        <is>
          <t>Group Project</t>
        </is>
      </c>
      <c r="G10" s="51" t="inlineStr">
        <is>
          <t>Details</t>
        </is>
      </c>
    </row>
    <row r="11">
      <c r="A11" s="52" t="inlineStr">
        <is>
          <t>Midterm 1</t>
        </is>
      </c>
      <c r="B11" s="372" t="inlineStr">
        <is>
          <t>250 pts</t>
        </is>
      </c>
      <c r="C11" s="373" t="inlineStr"/>
      <c r="D11" s="373" t="inlineStr">
        <is>
          <t>2026-09-30</t>
        </is>
      </c>
      <c r="E11" s="373" t="inlineStr"/>
      <c r="F11" s="373" t="inlineStr">
        <is>
          <t>No</t>
        </is>
      </c>
      <c r="G11" s="55">
        <f>HYPERLINK("https://raw.githubusercontent.com/vengeanceaiUSC/Syllabus-/cursor/add-syllabus-dissector-skill-a676/output/documents/buad-281-midterm-1.pdf","Open PDF")</f>
        <v/>
      </c>
    </row>
    <row r="12">
      <c r="A12" s="56" t="inlineStr">
        <is>
          <t>Exam</t>
        </is>
      </c>
      <c r="B12" s="374" t="inlineStr"/>
      <c r="C12" s="374" t="inlineStr"/>
      <c r="D12" s="374" t="inlineStr">
        <is>
          <t>2026-09-30</t>
        </is>
      </c>
      <c r="E12" s="374" t="inlineStr"/>
      <c r="F12" s="374" t="inlineStr"/>
      <c r="G12" s="58" t="inlineStr">
        <is>
          <t>9/30 Midterm 1: 250 Points Chapters 1, 2, 3, 4, 5, 8</t>
        </is>
      </c>
    </row>
    <row r="13">
      <c r="A13" s="59" t="inlineStr">
        <is>
          <t>Midterm 2</t>
        </is>
      </c>
      <c r="B13" s="372" t="inlineStr">
        <is>
          <t>250 pts</t>
        </is>
      </c>
      <c r="C13" s="375" t="inlineStr"/>
      <c r="D13" s="375" t="inlineStr">
        <is>
          <t>2026-10-26</t>
        </is>
      </c>
      <c r="E13" s="375" t="inlineStr"/>
      <c r="F13" s="375" t="inlineStr">
        <is>
          <t>No</t>
        </is>
      </c>
      <c r="G13" s="61">
        <f>HYPERLINK("https://raw.githubusercontent.com/vengeanceaiUSC/Syllabus-/cursor/add-syllabus-dissector-skill-a676/output/documents/buad-281-midterm-2.pdf","Open PDF")</f>
        <v/>
      </c>
    </row>
    <row r="14">
      <c r="A14" s="56" t="inlineStr">
        <is>
          <t>Exam</t>
        </is>
      </c>
      <c r="B14" s="374" t="inlineStr"/>
      <c r="C14" s="374" t="inlineStr"/>
      <c r="D14" s="374" t="inlineStr">
        <is>
          <t>2026-10-26</t>
        </is>
      </c>
      <c r="E14" s="374" t="inlineStr"/>
      <c r="F14" s="374" t="inlineStr"/>
      <c r="G14" s="58" t="inlineStr">
        <is>
          <t>10/26 Midterm 2: 250 Points Chapters 6, 7, 9, &amp; 16</t>
        </is>
      </c>
    </row>
    <row r="15">
      <c r="A15" s="52" t="inlineStr">
        <is>
          <t>Final Exam</t>
        </is>
      </c>
      <c r="B15" s="372" t="inlineStr">
        <is>
          <t>250 pts</t>
        </is>
      </c>
      <c r="C15" s="373" t="inlineStr"/>
      <c r="D15" s="373" t="inlineStr">
        <is>
          <t>2026-12-16</t>
        </is>
      </c>
      <c r="E15" s="373" t="inlineStr"/>
      <c r="F15" s="373" t="inlineStr">
        <is>
          <t>No</t>
        </is>
      </c>
      <c r="G15" s="55">
        <f>HYPERLINK("https://raw.githubusercontent.com/vengeanceaiUSC/Syllabus-/cursor/add-syllabus-dissector-skill-a676/output/documents/buad-281-final-exam.pdf","Open PDF")</f>
        <v/>
      </c>
    </row>
    <row r="16">
      <c r="A16" s="56" t="inlineStr">
        <is>
          <t>Exam</t>
        </is>
      </c>
      <c r="B16" s="374" t="inlineStr"/>
      <c r="C16" s="374" t="inlineStr"/>
      <c r="D16" s="374" t="inlineStr">
        <is>
          <t>2026-12-16</t>
        </is>
      </c>
      <c r="E16" s="374" t="inlineStr"/>
      <c r="F16" s="374" t="inlineStr"/>
      <c r="G16" s="58" t="inlineStr">
        <is>
          <t>Final Exam</t>
        </is>
      </c>
    </row>
    <row r="17">
      <c r="A17" s="59" t="inlineStr">
        <is>
          <t>Homework</t>
        </is>
      </c>
      <c r="B17" s="372" t="inlineStr">
        <is>
          <t>170 pts</t>
        </is>
      </c>
      <c r="C17" s="375" t="inlineStr"/>
      <c r="D17" s="375" t="inlineStr">
        <is>
          <t>2026-12-02</t>
        </is>
      </c>
      <c r="E17" s="375" t="inlineStr"/>
      <c r="F17" s="375" t="inlineStr">
        <is>
          <t>No</t>
        </is>
      </c>
      <c r="G17" s="61">
        <f>HYPERLINK("https://raw.githubusercontent.com/vengeanceaiUSC/Syllabus-/cursor/add-syllabus-dissector-skill-a676/output/documents/buad-281-homework.pdf","Open PDF")</f>
        <v/>
      </c>
    </row>
    <row r="18">
      <c r="A18" s="62" t="inlineStr">
        <is>
          <t>Reading</t>
        </is>
      </c>
      <c r="B18" s="374" t="inlineStr"/>
      <c r="C18" s="374" t="inlineStr"/>
      <c r="D18" s="374" t="inlineStr">
        <is>
          <t>2026-09-09</t>
        </is>
      </c>
      <c r="E18" s="374" t="inlineStr"/>
      <c r="F18" s="374" t="inlineStr"/>
      <c r="G18" s="58" t="inlineStr">
        <is>
          <t>Class 5 (9/9) - Product Cost Accumulation: Job; Order Co: Chapter 3</t>
        </is>
      </c>
    </row>
    <row r="19">
      <c r="A19" s="63" t="inlineStr">
        <is>
          <t>Homework</t>
        </is>
      </c>
      <c r="B19" s="374" t="inlineStr"/>
      <c r="C19" s="374" t="inlineStr"/>
      <c r="D19" s="374" t="inlineStr">
        <is>
          <t>2026-09-09</t>
        </is>
      </c>
      <c r="E19" s="374" t="inlineStr"/>
      <c r="F19" s="374" t="inlineStr"/>
      <c r="G19" s="58" t="inlineStr">
        <is>
          <t>Class 5 (9/9) - 2-29, 2-30, 2-40; 15 Points</t>
        </is>
      </c>
    </row>
    <row r="20">
      <c r="A20" s="62" t="inlineStr">
        <is>
          <t>Reading</t>
        </is>
      </c>
      <c r="B20" s="374" t="inlineStr"/>
      <c r="C20" s="374" t="inlineStr"/>
      <c r="D20" s="374" t="inlineStr">
        <is>
          <t>2026-09-16</t>
        </is>
      </c>
      <c r="E20" s="374" t="inlineStr"/>
      <c r="F20" s="374" t="inlineStr"/>
      <c r="G20" s="58" t="inlineStr">
        <is>
          <t>Class 7 (9/16) - Activity Based Costing: Chapter 5- ONLY; LO 5.1, 2, 4 &amp; 5</t>
        </is>
      </c>
    </row>
    <row r="21">
      <c r="A21" s="63" t="inlineStr">
        <is>
          <t>Homework</t>
        </is>
      </c>
      <c r="B21" s="374" t="inlineStr"/>
      <c r="C21" s="374" t="inlineStr"/>
      <c r="D21" s="374" t="inlineStr">
        <is>
          <t>2026-09-16</t>
        </is>
      </c>
      <c r="E21" s="374" t="inlineStr"/>
      <c r="F21" s="374" t="inlineStr"/>
      <c r="G21" s="58" t="inlineStr">
        <is>
          <t>Class 7 (9/16) - 3-24, 3-28, 3-32; 15 Points</t>
        </is>
      </c>
    </row>
    <row r="22">
      <c r="A22" s="62" t="inlineStr">
        <is>
          <t>Reading</t>
        </is>
      </c>
      <c r="B22" s="374" t="inlineStr"/>
      <c r="C22" s="374" t="inlineStr"/>
      <c r="D22" s="374" t="inlineStr">
        <is>
          <t>2026-09-21</t>
        </is>
      </c>
      <c r="E22" s="374" t="inlineStr"/>
      <c r="F22" s="374" t="inlineStr"/>
      <c r="G22" s="58" t="inlineStr">
        <is>
          <t>Class 8 (9/21) - Product Cost Accumulation: Pro-; cess Co: Chapter 4- ONLY; LO 4.1, 3, 4, &amp; 5</t>
        </is>
      </c>
    </row>
    <row r="23">
      <c r="A23" s="63" t="inlineStr">
        <is>
          <t>Homework</t>
        </is>
      </c>
      <c r="B23" s="374" t="inlineStr"/>
      <c r="C23" s="374" t="inlineStr"/>
      <c r="D23" s="374" t="inlineStr">
        <is>
          <t>2026-09-21</t>
        </is>
      </c>
      <c r="E23" s="374" t="inlineStr"/>
      <c r="F23" s="374" t="inlineStr"/>
      <c r="G23" s="58" t="inlineStr">
        <is>
          <t>Class 8 (9/21) - 5-27 5-46; 10 Points</t>
        </is>
      </c>
    </row>
    <row r="24">
      <c r="A24" s="62" t="inlineStr">
        <is>
          <t>Reading</t>
        </is>
      </c>
      <c r="B24" s="374" t="inlineStr"/>
      <c r="C24" s="374" t="inlineStr"/>
      <c r="D24" s="374" t="inlineStr">
        <is>
          <t>2026-09-23</t>
        </is>
      </c>
      <c r="E24" s="374" t="inlineStr"/>
      <c r="F24" s="374" t="inlineStr"/>
      <c r="G24" s="58" t="inlineStr">
        <is>
          <t>Class 9 (9/23) - Cost of Quality &amp; ESG &amp;; Overview of; • : Chapter 8 - ONLY; LO 8.7, 8, 9</t>
        </is>
      </c>
    </row>
    <row r="25">
      <c r="A25" s="63" t="inlineStr">
        <is>
          <t>Homework</t>
        </is>
      </c>
      <c r="B25" s="374" t="inlineStr"/>
      <c r="C25" s="374" t="inlineStr"/>
      <c r="D25" s="374" t="inlineStr">
        <is>
          <t>2026-09-23</t>
        </is>
      </c>
      <c r="E25" s="374" t="inlineStr"/>
      <c r="F25" s="374" t="inlineStr"/>
      <c r="G25" s="58" t="inlineStr">
        <is>
          <t>Class 9 (9/23) - 4-21, 4-22; 10 Points</t>
        </is>
      </c>
    </row>
    <row r="26">
      <c r="A26" s="62" t="inlineStr">
        <is>
          <t>Reading</t>
        </is>
      </c>
      <c r="B26" s="374" t="inlineStr"/>
      <c r="C26" s="374" t="inlineStr"/>
      <c r="D26" s="374" t="inlineStr">
        <is>
          <t>2026-09-28</t>
        </is>
      </c>
      <c r="E26" s="374" t="inlineStr"/>
      <c r="F26" s="374" t="inlineStr"/>
      <c r="G26" s="58" t="inlineStr">
        <is>
          <t>Class 10 (9/28) - Catchup &amp; Midterm Review</t>
        </is>
      </c>
    </row>
    <row r="27">
      <c r="A27" s="63" t="inlineStr">
        <is>
          <t>Homework</t>
        </is>
      </c>
      <c r="B27" s="374" t="inlineStr"/>
      <c r="C27" s="374" t="inlineStr"/>
      <c r="D27" s="374" t="inlineStr">
        <is>
          <t>2026-09-28</t>
        </is>
      </c>
      <c r="E27" s="374" t="inlineStr"/>
      <c r="F27" s="374" t="inlineStr"/>
      <c r="G27" s="58" t="inlineStr">
        <is>
          <t>Class 10 (9/28) - 8-28, 8-29; 10 Points</t>
        </is>
      </c>
    </row>
    <row r="28">
      <c r="A28" s="62" t="inlineStr">
        <is>
          <t>Reading</t>
        </is>
      </c>
      <c r="B28" s="374" t="inlineStr"/>
      <c r="C28" s="374" t="inlineStr"/>
      <c r="D28" s="374" t="inlineStr">
        <is>
          <t>2026-10-07</t>
        </is>
      </c>
      <c r="E28" s="374" t="inlineStr"/>
      <c r="F28" s="374" t="inlineStr"/>
      <c r="G28" s="58" t="inlineStr">
        <is>
          <t>Class 12 (10/7) - Cost volume profit analysis: Chapter 7</t>
        </is>
      </c>
    </row>
    <row r="29">
      <c r="A29" s="63" t="inlineStr">
        <is>
          <t>Homework</t>
        </is>
      </c>
      <c r="B29" s="374" t="inlineStr"/>
      <c r="C29" s="374" t="inlineStr"/>
      <c r="D29" s="374" t="inlineStr">
        <is>
          <t>2026-10-07</t>
        </is>
      </c>
      <c r="E29" s="374" t="inlineStr"/>
      <c r="F29" s="374" t="inlineStr"/>
      <c r="G29" s="58" t="inlineStr">
        <is>
          <t>Class 12 (10/7) - 6-24, 6-25, 6-34; 15 Points</t>
        </is>
      </c>
    </row>
    <row r="30">
      <c r="A30" s="62" t="inlineStr">
        <is>
          <t>Reading</t>
        </is>
      </c>
      <c r="B30" s="374" t="inlineStr"/>
      <c r="C30" s="374" t="inlineStr"/>
      <c r="D30" s="374" t="inlineStr">
        <is>
          <t>2026-10-14</t>
        </is>
      </c>
      <c r="E30" s="374" t="inlineStr"/>
      <c r="F30" s="374" t="inlineStr"/>
      <c r="G30" s="58" t="inlineStr">
        <is>
          <t>Class 14 (10/14) - Financial planning and analysis:; Static: Chapter 9</t>
        </is>
      </c>
    </row>
    <row r="31">
      <c r="A31" s="63" t="inlineStr">
        <is>
          <t>Homework</t>
        </is>
      </c>
      <c r="B31" s="374" t="inlineStr"/>
      <c r="C31" s="374" t="inlineStr"/>
      <c r="D31" s="374" t="inlineStr">
        <is>
          <t>2026-10-14</t>
        </is>
      </c>
      <c r="E31" s="374" t="inlineStr"/>
      <c r="F31" s="374" t="inlineStr"/>
      <c r="G31" s="58" t="inlineStr">
        <is>
          <t>Class 14 (10/14) - 7-29, 7-33, 7-40; 15 Points</t>
        </is>
      </c>
    </row>
    <row r="32">
      <c r="A32" s="62" t="inlineStr">
        <is>
          <t>Reading</t>
        </is>
      </c>
      <c r="B32" s="374" t="inlineStr"/>
      <c r="C32" s="374" t="inlineStr"/>
      <c r="D32" s="374" t="inlineStr">
        <is>
          <t>2026-10-19</t>
        </is>
      </c>
      <c r="E32" s="374" t="inlineStr"/>
      <c r="F32" s="374" t="inlineStr"/>
      <c r="G32" s="58" t="inlineStr">
        <is>
          <t>Class 15 (10/19) - Capital Budgeting; Practice Midterm Ques: Chapter 16- ONLY; LO 16.1, 2, 3</t>
        </is>
      </c>
    </row>
    <row r="33">
      <c r="A33" s="63" t="inlineStr">
        <is>
          <t>Homework</t>
        </is>
      </c>
      <c r="B33" s="374" t="inlineStr"/>
      <c r="C33" s="374" t="inlineStr"/>
      <c r="D33" s="374" t="inlineStr">
        <is>
          <t>2026-10-19</t>
        </is>
      </c>
      <c r="E33" s="374" t="inlineStr"/>
      <c r="F33" s="374" t="inlineStr"/>
      <c r="G33" s="58" t="inlineStr">
        <is>
          <t>Class 15 (10/19) - 9-25, 9-28, 9-37; 15 - Points</t>
        </is>
      </c>
    </row>
    <row r="34">
      <c r="A34" s="62" t="inlineStr">
        <is>
          <t>Reading</t>
        </is>
      </c>
      <c r="B34" s="374" t="inlineStr"/>
      <c r="C34" s="374" t="inlineStr"/>
      <c r="D34" s="374" t="inlineStr">
        <is>
          <t>2026-10-21</t>
        </is>
      </c>
      <c r="E34" s="374" t="inlineStr"/>
      <c r="F34" s="374" t="inlineStr"/>
      <c r="G34" s="58" t="inlineStr">
        <is>
          <t>Class 16 (10/21) - Catchup &amp; Midterm Review</t>
        </is>
      </c>
    </row>
    <row r="35">
      <c r="A35" s="63" t="inlineStr">
        <is>
          <t>Homework</t>
        </is>
      </c>
      <c r="B35" s="374" t="inlineStr"/>
      <c r="C35" s="374" t="inlineStr"/>
      <c r="D35" s="374" t="inlineStr">
        <is>
          <t>2026-10-21</t>
        </is>
      </c>
      <c r="E35" s="374" t="inlineStr"/>
      <c r="F35" s="374" t="inlineStr"/>
      <c r="G35" s="58" t="inlineStr">
        <is>
          <t>Class 16 (10/21) - 16-28, 16-40; 10 Points</t>
        </is>
      </c>
    </row>
    <row r="36">
      <c r="A36" s="62" t="inlineStr">
        <is>
          <t>Reading</t>
        </is>
      </c>
      <c r="B36" s="374" t="inlineStr"/>
      <c r="C36" s="374" t="inlineStr"/>
      <c r="D36" s="374" t="inlineStr">
        <is>
          <t>2026-11-04</t>
        </is>
      </c>
      <c r="E36" s="374" t="inlineStr"/>
      <c r="F36" s="374" t="inlineStr"/>
      <c r="G36" s="58" t="inlineStr">
        <is>
          <t>Class 19 (11/4) - Sales Variance Analysis; Flexible Budget: Chapter 11 - ONLY; LO 11.1, 11.2 &amp;; Appendix B</t>
        </is>
      </c>
    </row>
    <row r="37">
      <c r="A37" s="63" t="inlineStr">
        <is>
          <t>Homework</t>
        </is>
      </c>
      <c r="B37" s="374" t="inlineStr"/>
      <c r="C37" s="374" t="inlineStr"/>
      <c r="D37" s="374" t="inlineStr">
        <is>
          <t>2026-11-04</t>
        </is>
      </c>
      <c r="E37" s="374" t="inlineStr"/>
      <c r="F37" s="374" t="inlineStr"/>
      <c r="G37" s="58" t="inlineStr">
        <is>
          <t>Class 19 (11/4) - 10-26, 10-30; 10 Points</t>
        </is>
      </c>
    </row>
    <row r="38">
      <c r="A38" s="62" t="inlineStr">
        <is>
          <t>Reading</t>
        </is>
      </c>
      <c r="B38" s="374" t="inlineStr"/>
      <c r="C38" s="374" t="inlineStr"/>
      <c r="D38" s="374" t="inlineStr">
        <is>
          <t>2026-11-09</t>
        </is>
      </c>
      <c r="E38" s="374" t="inlineStr"/>
      <c r="F38" s="374" t="inlineStr"/>
      <c r="G38" s="58" t="inlineStr">
        <is>
          <t>Class 20 (11/9) - Investment Centers: Chapter 13- ONLY; LO 13-1, 2, 3, 4</t>
        </is>
      </c>
    </row>
    <row r="39">
      <c r="A39" s="63" t="inlineStr">
        <is>
          <t>Homework</t>
        </is>
      </c>
      <c r="B39" s="374" t="inlineStr"/>
      <c r="C39" s="374" t="inlineStr"/>
      <c r="D39" s="374" t="inlineStr">
        <is>
          <t>2026-11-09</t>
        </is>
      </c>
      <c r="E39" s="374" t="inlineStr"/>
      <c r="F39" s="374" t="inlineStr"/>
      <c r="G39" s="58" t="inlineStr">
        <is>
          <t>Class 20 (11/9) - 11-31, 11-52; 10 Points</t>
        </is>
      </c>
    </row>
    <row r="40">
      <c r="A40" s="62" t="inlineStr">
        <is>
          <t>Reading</t>
        </is>
      </c>
      <c r="B40" s="374" t="inlineStr"/>
      <c r="C40" s="374" t="inlineStr"/>
      <c r="D40" s="374" t="inlineStr">
        <is>
          <t>2026-11-16</t>
        </is>
      </c>
      <c r="E40" s="374" t="inlineStr"/>
      <c r="F40" s="374" t="inlineStr"/>
      <c r="G40" s="58" t="inlineStr">
        <is>
          <t>Class 21 (11/16) - AI &amp; FP&amp;A</t>
        </is>
      </c>
    </row>
    <row r="41">
      <c r="A41" s="63" t="inlineStr">
        <is>
          <t>Homework</t>
        </is>
      </c>
      <c r="B41" s="374" t="inlineStr"/>
      <c r="C41" s="374" t="inlineStr"/>
      <c r="D41" s="374" t="inlineStr">
        <is>
          <t>2026-11-16</t>
        </is>
      </c>
      <c r="E41" s="374" t="inlineStr"/>
      <c r="F41" s="374" t="inlineStr"/>
      <c r="G41" s="58" t="inlineStr">
        <is>
          <t>Class 21 (11/16) - 13-29, 13-33; 10 Points</t>
        </is>
      </c>
    </row>
    <row r="42">
      <c r="A42" s="62" t="inlineStr">
        <is>
          <t>Reading</t>
        </is>
      </c>
      <c r="B42" s="374" t="inlineStr"/>
      <c r="C42" s="374" t="inlineStr"/>
      <c r="D42" s="374" t="inlineStr">
        <is>
          <t>2026-12-02</t>
        </is>
      </c>
      <c r="E42" s="374" t="inlineStr"/>
      <c r="F42" s="374" t="inlineStr"/>
      <c r="G42" s="58" t="inlineStr">
        <is>
          <t>Class 2 (12/2) - Catchup &amp; Final Review; Practice Final Questions Posted to Brightspace at; 5:00 PM</t>
        </is>
      </c>
    </row>
    <row r="43">
      <c r="A43" s="63" t="inlineStr">
        <is>
          <t>Homework</t>
        </is>
      </c>
      <c r="B43" s="374" t="inlineStr"/>
      <c r="C43" s="374" t="inlineStr"/>
      <c r="D43" s="374" t="inlineStr">
        <is>
          <t>2026-12-02</t>
        </is>
      </c>
      <c r="E43" s="374" t="inlineStr"/>
      <c r="F43" s="374" t="inlineStr"/>
      <c r="G43" s="58" t="inlineStr">
        <is>
          <t>Class 2 (12/2) - 14-35, 14-41; 10 Points; Assignments listed Be-; low Due by11:59 PM; Linked In Learning; E</t>
        </is>
      </c>
    </row>
    <row r="44">
      <c r="A44" s="52" t="inlineStr">
        <is>
          <t>LinkedIn Learning Excel Certification</t>
        </is>
      </c>
      <c r="B44" s="372" t="inlineStr">
        <is>
          <t>75 pts</t>
        </is>
      </c>
      <c r="C44" s="373" t="inlineStr">
        <is>
          <t>2026-09-23</t>
        </is>
      </c>
      <c r="D44" s="373" t="inlineStr">
        <is>
          <t>2026-12-02</t>
        </is>
      </c>
      <c r="E44" s="373" t="inlineStr"/>
      <c r="F44" s="373" t="inlineStr">
        <is>
          <t>No</t>
        </is>
      </c>
      <c r="G44" s="55">
        <f>HYPERLINK("https://raw.githubusercontent.com/vengeanceaiUSC/Syllabus-/cursor/add-syllabus-dissector-skill-a676/output/documents/buad-281-linkedin-learning-excel-certification.pdf","Open PDF")</f>
        <v/>
      </c>
    </row>
    <row r="45">
      <c r="A45" s="64" t="inlineStr">
        <is>
          <t>Certification</t>
        </is>
      </c>
      <c r="B45" s="374" t="inlineStr"/>
      <c r="C45" s="374" t="inlineStr">
        <is>
          <t>2026-09-23</t>
        </is>
      </c>
      <c r="D45" s="374" t="inlineStr">
        <is>
          <t>2026-12-02</t>
        </is>
      </c>
      <c r="E45" s="374" t="inlineStr"/>
      <c r="F45" s="374" t="inlineStr"/>
      <c r="G45" s="58" t="inlineStr">
        <is>
          <t>LinkedIn Learning Excel Certification</t>
        </is>
      </c>
    </row>
    <row r="46">
      <c r="A46" s="59" t="inlineStr">
        <is>
          <t>Stukent Simternship</t>
        </is>
      </c>
      <c r="B46" s="372" t="inlineStr">
        <is>
          <t>75 pts</t>
        </is>
      </c>
      <c r="C46" s="375" t="inlineStr">
        <is>
          <t>2026-09-23</t>
        </is>
      </c>
      <c r="D46" s="375" t="inlineStr">
        <is>
          <t>2026-12-02</t>
        </is>
      </c>
      <c r="E46" s="375" t="inlineStr"/>
      <c r="F46" s="375" t="inlineStr">
        <is>
          <t>No</t>
        </is>
      </c>
      <c r="G46" s="61">
        <f>HYPERLINK("https://raw.githubusercontent.com/vengeanceaiUSC/Syllabus-/cursor/add-syllabus-dissector-skill-a676/output/documents/buad-281-stukent-simternship.pdf","Open PDF")</f>
        <v/>
      </c>
    </row>
    <row r="47">
      <c r="A47" s="64" t="inlineStr">
        <is>
          <t>Certification</t>
        </is>
      </c>
      <c r="B47" s="374" t="inlineStr"/>
      <c r="C47" s="374" t="inlineStr">
        <is>
          <t>2026-09-23</t>
        </is>
      </c>
      <c r="D47" s="374" t="inlineStr">
        <is>
          <t>2026-12-02</t>
        </is>
      </c>
      <c r="E47" s="374" t="inlineStr"/>
      <c r="F47" s="374" t="inlineStr"/>
      <c r="G47" s="58" t="inlineStr">
        <is>
          <t>Stukent Simternship</t>
        </is>
      </c>
    </row>
    <row r="48">
      <c r="A48" s="29" t="inlineStr">
        <is>
          <t>Total</t>
        </is>
      </c>
      <c r="B48" s="65" t="inlineStr">
        <is>
          <t>1070 pts</t>
        </is>
      </c>
    </row>
  </sheetData>
  <mergeCells count="7">
    <mergeCell ref="B3:G3"/>
    <mergeCell ref="A1:G1"/>
    <mergeCell ref="B8:G8"/>
    <mergeCell ref="B4:G4"/>
    <mergeCell ref="A2:G2"/>
    <mergeCell ref="A7:G7"/>
    <mergeCell ref="B6:G6"/>
  </mergeCells>
  <pageMargins left="0.75" right="0.75" top="1" bottom="1" header="0.5" footer="0.5"/>
</worksheet>
</file>

<file path=xl/worksheets/sheet5.xml><?xml version="1.0" encoding="utf-8"?>
<worksheet xmlns="http://schemas.openxmlformats.org/spreadsheetml/2006/main">
  <sheetPr>
    <tabColor rgb="001F77B4"/>
    <outlinePr summaryBelow="1" summaryRight="1"/>
    <pageSetUpPr/>
  </sheetPr>
  <dimension ref="A1:G54"/>
  <sheetViews>
    <sheetView workbookViewId="0">
      <pane ySplit="10" topLeftCell="A11"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66" t="inlineStr">
        <is>
          <t>BUAD-304 — Organizational Behavior and Leadership</t>
        </is>
      </c>
    </row>
    <row r="2" ht="40" customHeight="1">
      <c r="A2" s="28">
        <f>HYPERLINK("https://raw.githubusercontent.com/vengeanceaiUSC/Syllabus-/cursor/add-syllabus-dissector-skill-a676/output/sources/buad-304-source.pdf","SEE HERE")</f>
        <v/>
      </c>
    </row>
    <row r="3">
      <c r="A3" s="29" t="inlineStr">
        <is>
          <t>Instructor</t>
        </is>
      </c>
      <c r="B3" t="inlineStr">
        <is>
          <t>Christine El Haddad</t>
        </is>
      </c>
    </row>
    <row r="4">
      <c r="A4" s="29" t="inlineStr">
        <is>
          <t>Term</t>
        </is>
      </c>
      <c r="B4" t="inlineStr">
        <is>
          <t>Fall 2026</t>
        </is>
      </c>
    </row>
    <row r="5">
      <c r="A5" s="29" t="inlineStr">
        <is>
          <t>Required for an A</t>
        </is>
      </c>
      <c r="B5" s="30" t="inlineStr">
        <is>
          <t>Curved (class rank)</t>
        </is>
      </c>
    </row>
    <row r="6">
      <c r="A6" s="29" t="inlineStr">
        <is>
          <t>Grading scale</t>
        </is>
      </c>
      <c r="B6" t="inlineStr">
        <is>
          <t>Weighted score (% of points earned) + class average + student ranking (relative grading - no fixed A threshold in syllabus)</t>
        </is>
      </c>
    </row>
    <row r="7" ht="28" customHeight="1">
      <c r="A7" s="67" t="inlineStr">
        <is>
          <t>Final Exam 25%  |  Participation 15%  |  Midterm Exam 15%  |  Team Project Paper 15%  |  Final Reflection Paper 10%  |  Presentation 10%  |  Case Analysis Assignments 5%  |  Proposal &amp; Team Contract 3%  |  Self &amp; Peer Evaluation 2%</t>
        </is>
      </c>
    </row>
    <row r="8" ht="36" customHeight="1">
      <c r="A8" s="29" t="inlineStr">
        <is>
          <t>Connect prep</t>
        </is>
      </c>
      <c r="B8" s="68" t="inlineStr">
        <is>
          <t>Ungraded - Connect self-assessments are class prep, not part of Participation or other grades.</t>
        </is>
      </c>
    </row>
    <row r="10">
      <c r="A10" s="69" t="inlineStr">
        <is>
          <t>Category</t>
        </is>
      </c>
      <c r="B10" s="69" t="inlineStr">
        <is>
          <t>Weight</t>
        </is>
      </c>
      <c r="C10" s="69" t="inlineStr">
        <is>
          <t>Start Date</t>
        </is>
      </c>
      <c r="D10" s="69" t="inlineStr">
        <is>
          <t>Due Date</t>
        </is>
      </c>
      <c r="E10" s="69" t="inlineStr">
        <is>
          <t>Status</t>
        </is>
      </c>
      <c r="F10" s="69" t="inlineStr">
        <is>
          <t>Group Project</t>
        </is>
      </c>
      <c r="G10" s="69" t="inlineStr">
        <is>
          <t>Details</t>
        </is>
      </c>
    </row>
    <row r="11">
      <c r="A11" s="70" t="inlineStr">
        <is>
          <t>Final Exam</t>
        </is>
      </c>
      <c r="B11" s="381" t="inlineStr">
        <is>
          <t>25%</t>
        </is>
      </c>
      <c r="C11" s="382" t="inlineStr">
        <is>
          <t>2026-08-24</t>
        </is>
      </c>
      <c r="D11" s="382" t="inlineStr">
        <is>
          <t>2026-12-09</t>
        </is>
      </c>
      <c r="E11" s="382" t="inlineStr"/>
      <c r="F11" s="382" t="inlineStr">
        <is>
          <t>No</t>
        </is>
      </c>
      <c r="G11" s="73">
        <f>HYPERLINK("https://raw.githubusercontent.com/vengeanceaiUSC/Syllabus-/cursor/add-syllabus-dissector-skill-a676/output/documents/buad-304-final-exam.pdf","Open PDF")</f>
        <v/>
      </c>
    </row>
    <row r="12">
      <c r="A12" s="74" t="inlineStr">
        <is>
          <t>Exam</t>
        </is>
      </c>
      <c r="B12" s="383" t="inlineStr"/>
      <c r="C12" s="383" t="inlineStr">
        <is>
          <t>2026-08-24</t>
        </is>
      </c>
      <c r="D12" s="383" t="inlineStr">
        <is>
          <t>2026-12-09</t>
        </is>
      </c>
      <c r="E12" s="383" t="inlineStr"/>
      <c r="F12" s="383" t="inlineStr"/>
      <c r="G12" s="76" t="inlineStr">
        <is>
          <t>Final Exam</t>
        </is>
      </c>
    </row>
    <row r="13">
      <c r="A13" s="77" t="inlineStr">
        <is>
          <t>Participation</t>
        </is>
      </c>
      <c r="B13" s="381" t="inlineStr">
        <is>
          <t>15%</t>
        </is>
      </c>
      <c r="C13" s="384" t="inlineStr">
        <is>
          <t>2026-08-24</t>
        </is>
      </c>
      <c r="D13" s="384" t="inlineStr">
        <is>
          <t>2026-12-04</t>
        </is>
      </c>
      <c r="E13" s="384" t="inlineStr"/>
      <c r="F13" s="384" t="inlineStr">
        <is>
          <t>No</t>
        </is>
      </c>
      <c r="G13" s="79">
        <f>HYPERLINK("https://raw.githubusercontent.com/vengeanceaiUSC/Syllabus-/cursor/add-syllabus-dissector-skill-a676/output/documents/buad-304-participation.pdf","Open PDF")</f>
        <v/>
      </c>
    </row>
    <row r="14">
      <c r="A14" s="80" t="inlineStr">
        <is>
          <t>Research</t>
        </is>
      </c>
      <c r="B14" s="383" t="inlineStr"/>
      <c r="C14" s="383" t="inlineStr">
        <is>
          <t>2026-08-24</t>
        </is>
      </c>
      <c r="D14" s="383" t="inlineStr"/>
      <c r="E14" s="383" t="inlineStr"/>
      <c r="F14" s="383" t="inlineStr"/>
      <c r="G14" s="76" t="inlineStr">
        <is>
          <t>Research: SONA registration opens</t>
        </is>
      </c>
    </row>
    <row r="15">
      <c r="A15" s="80" t="inlineStr">
        <is>
          <t>Research</t>
        </is>
      </c>
      <c r="B15" s="383" t="inlineStr"/>
      <c r="C15" s="383" t="inlineStr">
        <is>
          <t>2026-09-11</t>
        </is>
      </c>
      <c r="D15" s="383" t="inlineStr"/>
      <c r="E15" s="383" t="inlineStr"/>
      <c r="F15" s="383" t="inlineStr"/>
      <c r="G15" s="76" t="inlineStr">
        <is>
          <t>Research: Prescreening questionnaire opens</t>
        </is>
      </c>
    </row>
    <row r="16">
      <c r="A16" s="80" t="inlineStr">
        <is>
          <t>Research</t>
        </is>
      </c>
      <c r="B16" s="383" t="inlineStr"/>
      <c r="C16" s="383" t="inlineStr"/>
      <c r="D16" s="383" t="inlineStr">
        <is>
          <t>2026-09-25</t>
        </is>
      </c>
      <c r="E16" s="383" t="inlineStr"/>
      <c r="F16" s="383" t="inlineStr"/>
      <c r="G16" s="76" t="inlineStr">
        <is>
          <t>Research: Setup deadline (registration, prescreening, contacts)</t>
        </is>
      </c>
    </row>
    <row r="17">
      <c r="A17" s="80" t="inlineStr">
        <is>
          <t>Research</t>
        </is>
      </c>
      <c r="B17" s="383" t="inlineStr"/>
      <c r="C17" s="383" t="inlineStr">
        <is>
          <t>2026-09-26</t>
        </is>
      </c>
      <c r="D17" s="383" t="inlineStr"/>
      <c r="E17" s="383" t="inlineStr"/>
      <c r="F17" s="383" t="inlineStr"/>
      <c r="G17" s="76" t="inlineStr">
        <is>
          <t>Research: Study invitations begin (after setup)</t>
        </is>
      </c>
    </row>
    <row r="18">
      <c r="A18" s="80" t="inlineStr">
        <is>
          <t>Research</t>
        </is>
      </c>
      <c r="B18" s="383" t="inlineStr"/>
      <c r="C18" s="383" t="inlineStr"/>
      <c r="D18" s="383" t="inlineStr">
        <is>
          <t>2026-10-26</t>
        </is>
      </c>
      <c r="E18" s="383" t="inlineStr"/>
      <c r="F18" s="383" t="inlineStr"/>
      <c r="G18" s="76" t="inlineStr">
        <is>
          <t>Research: Employee contact surveys sent</t>
        </is>
      </c>
    </row>
    <row r="19">
      <c r="A19" s="81" t="inlineStr">
        <is>
          <t>Assignment</t>
        </is>
      </c>
      <c r="B19" s="383" t="inlineStr">
        <is>
          <t>Not in syllabus (% of 15%)</t>
        </is>
      </c>
      <c r="C19" s="383" t="inlineStr">
        <is>
          <t>2026-08-24</t>
        </is>
      </c>
      <c r="D19" s="383" t="inlineStr">
        <is>
          <t>2026-12-04</t>
        </is>
      </c>
      <c r="E19" s="383" t="inlineStr"/>
      <c r="F19" s="383" t="inlineStr"/>
      <c r="G19" s="76" t="inlineStr">
        <is>
          <t>Active Class Participation — attend MW sessions prepared; contribute to discussions and in-class activities (2 free abse</t>
        </is>
      </c>
    </row>
    <row r="20">
      <c r="A20" s="81" t="inlineStr">
        <is>
          <t>Assignment</t>
        </is>
      </c>
      <c r="B20" s="383" t="inlineStr">
        <is>
          <t>Not in syllabus (% of 15%)</t>
        </is>
      </c>
      <c r="C20" s="383" t="inlineStr">
        <is>
          <t>2026-09-07</t>
        </is>
      </c>
      <c r="D20" s="383" t="inlineStr">
        <is>
          <t>2026-12-04</t>
        </is>
      </c>
      <c r="E20" s="383" t="inlineStr"/>
      <c r="F20" s="383" t="inlineStr"/>
      <c r="G20" s="76" t="inlineStr">
        <is>
          <t>Team Engagement — effective engagement with project team throughout semester</t>
        </is>
      </c>
    </row>
    <row r="21">
      <c r="A21" s="80" t="inlineStr">
        <is>
          <t>Research</t>
        </is>
      </c>
      <c r="B21" s="383" t="inlineStr">
        <is>
          <t>Not in syllabus (% of 15%)</t>
        </is>
      </c>
      <c r="C21" s="383" t="inlineStr">
        <is>
          <t>2026-08-24</t>
        </is>
      </c>
      <c r="D21" s="383" t="inlineStr">
        <is>
          <t>2026-12-04</t>
        </is>
      </c>
      <c r="E21" s="383" t="inlineStr"/>
      <c r="F21" s="383" t="inlineStr"/>
      <c r="G21" s="76" t="inlineStr">
        <is>
          <t>Research Studies — complete 2.0 credits via SONA (register, setup, lab studies)</t>
        </is>
      </c>
    </row>
    <row r="22">
      <c r="A22" s="80" t="inlineStr">
        <is>
          <t>Research</t>
        </is>
      </c>
      <c r="B22" s="383" t="inlineStr"/>
      <c r="C22" s="383" t="inlineStr"/>
      <c r="D22" s="383" t="inlineStr">
        <is>
          <t>2026-12-04</t>
        </is>
      </c>
      <c r="E22" s="383" t="inlineStr"/>
      <c r="F22" s="383" t="inlineStr"/>
      <c r="G22" s="76" t="inlineStr">
        <is>
          <t>Research: Complete 2.0 research credits</t>
        </is>
      </c>
    </row>
    <row r="23">
      <c r="A23" s="70" t="inlineStr">
        <is>
          <t>Midterm Exam</t>
        </is>
      </c>
      <c r="B23" s="381" t="inlineStr">
        <is>
          <t>15%</t>
        </is>
      </c>
      <c r="C23" s="382" t="inlineStr">
        <is>
          <t>2026-08-24</t>
        </is>
      </c>
      <c r="D23" s="382" t="inlineStr">
        <is>
          <t>2026-10-14</t>
        </is>
      </c>
      <c r="E23" s="382" t="inlineStr"/>
      <c r="F23" s="382" t="inlineStr">
        <is>
          <t>No</t>
        </is>
      </c>
      <c r="G23" s="73">
        <f>HYPERLINK("https://raw.githubusercontent.com/vengeanceaiUSC/Syllabus-/cursor/add-syllabus-dissector-skill-a676/output/documents/buad-304-midterm-exam.pdf","Open PDF")</f>
        <v/>
      </c>
    </row>
    <row r="24">
      <c r="A24" s="74" t="inlineStr">
        <is>
          <t>Exam</t>
        </is>
      </c>
      <c r="B24" s="383" t="inlineStr"/>
      <c r="C24" s="383" t="inlineStr">
        <is>
          <t>2026-08-24</t>
        </is>
      </c>
      <c r="D24" s="383" t="inlineStr">
        <is>
          <t>2026-10-14</t>
        </is>
      </c>
      <c r="E24" s="383" t="inlineStr"/>
      <c r="F24" s="383" t="inlineStr"/>
      <c r="G24" s="76" t="inlineStr">
        <is>
          <t>Midterm Exam</t>
        </is>
      </c>
    </row>
    <row r="25">
      <c r="A25" s="77" t="inlineStr">
        <is>
          <t>Team Project Paper</t>
        </is>
      </c>
      <c r="B25" s="381" t="inlineStr">
        <is>
          <t>15%</t>
        </is>
      </c>
      <c r="C25" s="384" t="inlineStr">
        <is>
          <t>2026-08-31</t>
        </is>
      </c>
      <c r="D25" s="384" t="inlineStr">
        <is>
          <t>2026-11-09</t>
        </is>
      </c>
      <c r="E25" s="384" t="inlineStr"/>
      <c r="F25" s="384" t="inlineStr">
        <is>
          <t>Yes</t>
        </is>
      </c>
      <c r="G25" s="79">
        <f>HYPERLINK("https://raw.githubusercontent.com/vengeanceaiUSC/Syllabus-/cursor/add-syllabus-dissector-skill-a676/output/documents/buad-304-team-project-paper.pdf","Open PDF")</f>
        <v/>
      </c>
    </row>
    <row r="26">
      <c r="A26" s="81" t="inlineStr">
        <is>
          <t>Assignment</t>
        </is>
      </c>
      <c r="B26" s="383" t="inlineStr"/>
      <c r="C26" s="383" t="inlineStr">
        <is>
          <t>2026-08-31</t>
        </is>
      </c>
      <c r="D26" s="383" t="inlineStr">
        <is>
          <t>2026-10-19</t>
        </is>
      </c>
      <c r="E26" s="383" t="inlineStr"/>
      <c r="F26" s="383" t="inlineStr"/>
      <c r="G26" s="76" t="inlineStr">
        <is>
          <t>Team project outline</t>
        </is>
      </c>
    </row>
    <row r="27">
      <c r="A27" s="81" t="inlineStr">
        <is>
          <t>Assignment</t>
        </is>
      </c>
      <c r="B27" s="383" t="inlineStr"/>
      <c r="C27" s="383" t="inlineStr">
        <is>
          <t>2026-08-31</t>
        </is>
      </c>
      <c r="D27" s="383" t="inlineStr">
        <is>
          <t>2026-11-09</t>
        </is>
      </c>
      <c r="E27" s="383" t="inlineStr"/>
      <c r="F27" s="383" t="inlineStr"/>
      <c r="G27" s="76" t="inlineStr">
        <is>
          <t>Team project paper</t>
        </is>
      </c>
    </row>
    <row r="28">
      <c r="A28" s="70" t="inlineStr">
        <is>
          <t>Final Reflection Paper</t>
        </is>
      </c>
      <c r="B28" s="381" t="inlineStr">
        <is>
          <t>10%</t>
        </is>
      </c>
      <c r="C28" s="382" t="inlineStr">
        <is>
          <t>2026-08-31</t>
        </is>
      </c>
      <c r="D28" s="382" t="inlineStr">
        <is>
          <t>2026-12-02</t>
        </is>
      </c>
      <c r="E28" s="382" t="inlineStr"/>
      <c r="F28" s="382" t="inlineStr">
        <is>
          <t>No</t>
        </is>
      </c>
      <c r="G28" s="73">
        <f>HYPERLINK("https://raw.githubusercontent.com/vengeanceaiUSC/Syllabus-/cursor/add-syllabus-dissector-skill-a676/output/documents/buad-304-final-reflection-paper.pdf","Open PDF")</f>
        <v/>
      </c>
    </row>
    <row r="29">
      <c r="A29" s="81" t="inlineStr">
        <is>
          <t>Assignment</t>
        </is>
      </c>
      <c r="B29" s="383" t="inlineStr"/>
      <c r="C29" s="383" t="inlineStr">
        <is>
          <t>2026-08-31</t>
        </is>
      </c>
      <c r="D29" s="383" t="inlineStr">
        <is>
          <t>2026-12-02</t>
        </is>
      </c>
      <c r="E29" s="383" t="inlineStr"/>
      <c r="F29" s="383" t="inlineStr"/>
      <c r="G29" s="76" t="inlineStr">
        <is>
          <t>Personal Reflection Paper</t>
        </is>
      </c>
    </row>
    <row r="30">
      <c r="A30" s="77" t="inlineStr">
        <is>
          <t>Presentation</t>
        </is>
      </c>
      <c r="B30" s="381" t="inlineStr">
        <is>
          <t>10%</t>
        </is>
      </c>
      <c r="C30" s="384" t="inlineStr">
        <is>
          <t>2026-08-31</t>
        </is>
      </c>
      <c r="D30" s="384" t="inlineStr">
        <is>
          <t>2026-11-09</t>
        </is>
      </c>
      <c r="E30" s="384" t="inlineStr"/>
      <c r="F30" s="384" t="inlineStr">
        <is>
          <t>Yes</t>
        </is>
      </c>
      <c r="G30" s="79">
        <f>HYPERLINK("https://raw.githubusercontent.com/vengeanceaiUSC/Syllabus-/cursor/add-syllabus-dissector-skill-a676/output/documents/buad-304-presentation.pdf","Open PDF")</f>
        <v/>
      </c>
    </row>
    <row r="31">
      <c r="A31" s="81" t="inlineStr">
        <is>
          <t>Assignment</t>
        </is>
      </c>
      <c r="B31" s="383" t="inlineStr"/>
      <c r="C31" s="383" t="inlineStr">
        <is>
          <t>2026-08-31</t>
        </is>
      </c>
      <c r="D31" s="383" t="inlineStr">
        <is>
          <t>2026-11-09</t>
        </is>
      </c>
      <c r="E31" s="383" t="inlineStr"/>
      <c r="F31" s="383" t="inlineStr"/>
      <c r="G31" s="76" t="inlineStr">
        <is>
          <t>Presentation slides</t>
        </is>
      </c>
    </row>
    <row r="32">
      <c r="A32" s="70" t="inlineStr">
        <is>
          <t>Case Analysis Assignments</t>
        </is>
      </c>
      <c r="B32" s="381" t="inlineStr">
        <is>
          <t>5%</t>
        </is>
      </c>
      <c r="C32" s="382" t="inlineStr">
        <is>
          <t>2026-08-26</t>
        </is>
      </c>
      <c r="D32" s="382" t="inlineStr">
        <is>
          <t>2026-10-21</t>
        </is>
      </c>
      <c r="E32" s="382" t="inlineStr"/>
      <c r="F32" s="382" t="inlineStr">
        <is>
          <t>No</t>
        </is>
      </c>
      <c r="G32" s="73">
        <f>HYPERLINK("https://raw.githubusercontent.com/vengeanceaiUSC/Syllabus-/cursor/add-syllabus-dissector-skill-a676/output/documents/buad-304-case-analysis-assignments.pdf","Open PDF")</f>
        <v/>
      </c>
    </row>
    <row r="33">
      <c r="A33" s="81" t="inlineStr">
        <is>
          <t>Assignment</t>
        </is>
      </c>
      <c r="B33" s="383" t="inlineStr"/>
      <c r="C33" s="383" t="inlineStr">
        <is>
          <t>2026-08-26</t>
        </is>
      </c>
      <c r="D33" s="383" t="inlineStr">
        <is>
          <t>2026-09-16</t>
        </is>
      </c>
      <c r="E33" s="383" t="inlineStr"/>
      <c r="F33" s="383" t="inlineStr"/>
      <c r="G33" s="76" t="inlineStr">
        <is>
          <t>Thomas Green Case Analysis Memo</t>
        </is>
      </c>
    </row>
    <row r="34">
      <c r="A34" s="81" t="inlineStr">
        <is>
          <t>Assignment</t>
        </is>
      </c>
      <c r="B34" s="383" t="inlineStr"/>
      <c r="C34" s="383" t="inlineStr">
        <is>
          <t>2026-08-26</t>
        </is>
      </c>
      <c r="D34" s="383" t="inlineStr">
        <is>
          <t>2026-10-21</t>
        </is>
      </c>
      <c r="E34" s="383" t="inlineStr"/>
      <c r="F34" s="383" t="inlineStr"/>
      <c r="G34" s="76" t="inlineStr">
        <is>
          <t>SkillsForTomorrow Analysis Memo</t>
        </is>
      </c>
    </row>
    <row r="35">
      <c r="A35" s="77" t="inlineStr">
        <is>
          <t>Proposal &amp; Team Contract</t>
        </is>
      </c>
      <c r="B35" s="381" t="inlineStr">
        <is>
          <t>3%</t>
        </is>
      </c>
      <c r="C35" s="384" t="inlineStr">
        <is>
          <t>2026-08-31</t>
        </is>
      </c>
      <c r="D35" s="384" t="inlineStr">
        <is>
          <t>2026-09-28</t>
        </is>
      </c>
      <c r="E35" s="384" t="inlineStr"/>
      <c r="F35" s="384" t="inlineStr">
        <is>
          <t>Yes</t>
        </is>
      </c>
      <c r="G35" s="79">
        <f>HYPERLINK("https://raw.githubusercontent.com/vengeanceaiUSC/Syllabus-/cursor/add-syllabus-dissector-skill-a676/output/documents/buad-304-proposal-team-contract.pdf","Open PDF")</f>
        <v/>
      </c>
    </row>
    <row r="36">
      <c r="A36" s="81" t="inlineStr">
        <is>
          <t>Assignment</t>
        </is>
      </c>
      <c r="B36" s="383" t="inlineStr"/>
      <c r="C36" s="383" t="inlineStr">
        <is>
          <t>2026-08-31</t>
        </is>
      </c>
      <c r="D36" s="383" t="inlineStr">
        <is>
          <t>2026-09-28</t>
        </is>
      </c>
      <c r="E36" s="383" t="inlineStr"/>
      <c r="F36" s="383" t="inlineStr"/>
      <c r="G36" s="76" t="inlineStr">
        <is>
          <t>Team project proposal &amp; team contract</t>
        </is>
      </c>
    </row>
    <row r="37">
      <c r="A37" s="70" t="inlineStr">
        <is>
          <t>Self &amp; Peer Evaluation</t>
        </is>
      </c>
      <c r="B37" s="381" t="inlineStr">
        <is>
          <t>2%</t>
        </is>
      </c>
      <c r="C37" s="382" t="inlineStr">
        <is>
          <t>2026-08-31</t>
        </is>
      </c>
      <c r="D37" s="382" t="inlineStr">
        <is>
          <t>2026-11-18</t>
        </is>
      </c>
      <c r="E37" s="382" t="inlineStr"/>
      <c r="F37" s="382" t="inlineStr">
        <is>
          <t>Yes</t>
        </is>
      </c>
      <c r="G37" s="73">
        <f>HYPERLINK("https://raw.githubusercontent.com/vengeanceaiUSC/Syllabus-/cursor/add-syllabus-dissector-skill-a676/output/documents/buad-304-self-peer-evaluation.pdf","Open PDF")</f>
        <v/>
      </c>
    </row>
    <row r="38">
      <c r="A38" s="81" t="inlineStr">
        <is>
          <t>Assignment</t>
        </is>
      </c>
      <c r="B38" s="383" t="inlineStr"/>
      <c r="C38" s="383" t="inlineStr">
        <is>
          <t>2026-08-31</t>
        </is>
      </c>
      <c r="D38" s="383" t="inlineStr">
        <is>
          <t>2026-11-18</t>
        </is>
      </c>
      <c r="E38" s="383" t="inlineStr"/>
      <c r="F38" s="383" t="inlineStr"/>
      <c r="G38" s="76" t="inlineStr">
        <is>
          <t>Self &amp; peer evaluation</t>
        </is>
      </c>
    </row>
    <row r="39">
      <c r="A39" s="77" t="inlineStr">
        <is>
          <t>Personal Assessments (Connect)</t>
        </is>
      </c>
      <c r="B39" s="381" t="inlineStr">
        <is>
          <t>—</t>
        </is>
      </c>
      <c r="C39" s="384" t="inlineStr"/>
      <c r="D39" s="384" t="inlineStr">
        <is>
          <t>2026-12-20</t>
        </is>
      </c>
      <c r="E39" s="384" t="inlineStr"/>
      <c r="F39" s="384" t="inlineStr">
        <is>
          <t>No</t>
        </is>
      </c>
      <c r="G39" s="79">
        <f>HYPERLINK("https://raw.githubusercontent.com/vengeanceaiUSC/Syllabus-/cursor/add-syllabus-dissector-skill-a676/output/documents/buad-304-personal-assessments-connect.pdf","Open PDF")</f>
        <v/>
      </c>
    </row>
    <row r="40">
      <c r="A40" s="82" t="inlineStr">
        <is>
          <t>Homework</t>
        </is>
      </c>
      <c r="B40" s="383" t="inlineStr"/>
      <c r="C40" s="383" t="inlineStr"/>
      <c r="D40" s="383" t="inlineStr">
        <is>
          <t>2026-08-31</t>
        </is>
      </c>
      <c r="E40" s="385" t="inlineStr">
        <is>
          <t>VORBEI</t>
        </is>
      </c>
      <c r="F40" s="383" t="inlineStr"/>
      <c r="G40" s="76" t="inlineStr">
        <is>
          <t>Connect: Self-Assessment 3.01 - What is my Big thinking about your topics and</t>
        </is>
      </c>
    </row>
    <row r="41">
      <c r="A41" s="82" t="inlineStr">
        <is>
          <t>Homework</t>
        </is>
      </c>
      <c r="B41" s="383" t="inlineStr"/>
      <c r="C41" s="383" t="inlineStr"/>
      <c r="D41" s="383" t="inlineStr">
        <is>
          <t>2026-08-31</t>
        </is>
      </c>
      <c r="E41" s="385" t="inlineStr">
        <is>
          <t>VORBEI</t>
        </is>
      </c>
      <c r="F41" s="383" t="inlineStr"/>
      <c r="G41" s="76" t="inlineStr">
        <is>
          <t>Connect: Self-Assessment 3.04 - What Is Your Level</t>
        </is>
      </c>
    </row>
    <row r="42">
      <c r="A42" s="82" t="inlineStr">
        <is>
          <t>Homework</t>
        </is>
      </c>
      <c r="B42" s="383" t="inlineStr"/>
      <c r="C42" s="383" t="inlineStr"/>
      <c r="D42" s="383" t="inlineStr">
        <is>
          <t>2026-09-02</t>
        </is>
      </c>
      <c r="E42" s="385" t="inlineStr">
        <is>
          <t>VORBEI</t>
        </is>
      </c>
      <c r="F42" s="383" t="inlineStr"/>
      <c r="G42" s="76" t="inlineStr">
        <is>
          <t>Connect: Self-Assessment 5.01 - Assessing Your</t>
        </is>
      </c>
    </row>
    <row r="43">
      <c r="A43" s="82" t="inlineStr">
        <is>
          <t>Homework</t>
        </is>
      </c>
      <c r="B43" s="383" t="inlineStr"/>
      <c r="C43" s="383" t="inlineStr"/>
      <c r="D43" s="383" t="inlineStr">
        <is>
          <t>2026-09-04</t>
        </is>
      </c>
      <c r="E43" s="383" t="inlineStr"/>
      <c r="F43" s="383" t="inlineStr"/>
      <c r="G43" s="76" t="inlineStr">
        <is>
          <t>Connect: Sharpen Companion</t>
        </is>
      </c>
    </row>
    <row r="44">
      <c r="A44" s="82" t="inlineStr">
        <is>
          <t>Homework</t>
        </is>
      </c>
      <c r="B44" s="383" t="inlineStr"/>
      <c r="C44" s="383" t="inlineStr"/>
      <c r="D44" s="383" t="inlineStr">
        <is>
          <t>2026-09-09</t>
        </is>
      </c>
      <c r="E44" s="383" t="inlineStr"/>
      <c r="F44" s="383" t="inlineStr"/>
      <c r="G44" s="76" t="inlineStr">
        <is>
          <t>Connect: Self-Assessment 11.01 - What is my</t>
        </is>
      </c>
    </row>
    <row r="45">
      <c r="A45" s="82" t="inlineStr">
        <is>
          <t>Homework</t>
        </is>
      </c>
      <c r="B45" s="383" t="inlineStr"/>
      <c r="C45" s="383" t="inlineStr"/>
      <c r="D45" s="383" t="inlineStr">
        <is>
          <t>2026-09-09</t>
        </is>
      </c>
      <c r="E45" s="385" t="inlineStr">
        <is>
          <t>VORBEI</t>
        </is>
      </c>
      <c r="F45" s="383" t="inlineStr"/>
      <c r="G45" s="76" t="inlineStr">
        <is>
          <t>Connect: Self-Assessment 11.02 - What is my</t>
        </is>
      </c>
    </row>
    <row r="46">
      <c r="A46" s="82" t="inlineStr">
        <is>
          <t>Homework</t>
        </is>
      </c>
      <c r="B46" s="383" t="inlineStr"/>
      <c r="C46" s="383" t="inlineStr"/>
      <c r="D46" s="383" t="inlineStr">
        <is>
          <t>2026-09-16</t>
        </is>
      </c>
      <c r="E46" s="385" t="inlineStr">
        <is>
          <t>VORBEI</t>
        </is>
      </c>
      <c r="F46" s="383" t="inlineStr"/>
      <c r="G46" s="76" t="inlineStr">
        <is>
          <t>Connect: Self-Assessment 12.01 - What kind of</t>
        </is>
      </c>
    </row>
    <row r="47">
      <c r="A47" s="82" t="inlineStr">
        <is>
          <t>Homework</t>
        </is>
      </c>
      <c r="B47" s="383" t="inlineStr"/>
      <c r="C47" s="383" t="inlineStr"/>
      <c r="D47" s="383" t="inlineStr">
        <is>
          <t>2026-09-28</t>
        </is>
      </c>
      <c r="E47" s="383" t="inlineStr"/>
      <c r="F47" s="383" t="inlineStr"/>
      <c r="G47" s="76" t="inlineStr">
        <is>
          <t>Connect: Self-Assessment 10.5 - Preferred Conflict</t>
        </is>
      </c>
    </row>
    <row r="48">
      <c r="A48" s="82" t="inlineStr">
        <is>
          <t>Homework</t>
        </is>
      </c>
      <c r="B48" s="383" t="inlineStr"/>
      <c r="C48" s="383" t="inlineStr"/>
      <c r="D48" s="383" t="inlineStr">
        <is>
          <t>2026-09-28</t>
        </is>
      </c>
      <c r="E48" s="383" t="inlineStr"/>
      <c r="F48" s="383" t="inlineStr"/>
      <c r="G48" s="76" t="inlineStr">
        <is>
          <t>Connect: Self-Assessment 9.01 - Assessing My</t>
        </is>
      </c>
    </row>
    <row r="49">
      <c r="A49" s="82" t="inlineStr">
        <is>
          <t>Homework</t>
        </is>
      </c>
      <c r="B49" s="383" t="inlineStr"/>
      <c r="C49" s="383" t="inlineStr"/>
      <c r="D49" s="383" t="inlineStr">
        <is>
          <t>2026-10-19</t>
        </is>
      </c>
      <c r="E49" s="383" t="inlineStr"/>
      <c r="F49" s="383" t="inlineStr"/>
      <c r="G49" s="76" t="inlineStr">
        <is>
          <t>Connect: Self-Assessment 8.01 - Group</t>
        </is>
      </c>
    </row>
    <row r="50">
      <c r="A50" s="82" t="inlineStr">
        <is>
          <t>Homework</t>
        </is>
      </c>
      <c r="B50" s="383" t="inlineStr"/>
      <c r="C50" s="383" t="inlineStr"/>
      <c r="D50" s="383" t="inlineStr">
        <is>
          <t>2026-11-04</t>
        </is>
      </c>
      <c r="E50" s="383" t="inlineStr"/>
      <c r="F50" s="383" t="inlineStr"/>
      <c r="G50" s="76" t="inlineStr">
        <is>
          <t>Connect: Self-Assessment 14.02 - What Type of Organizational Culture Do I</t>
        </is>
      </c>
    </row>
    <row r="51">
      <c r="A51" s="82" t="inlineStr">
        <is>
          <t>Homework</t>
        </is>
      </c>
      <c r="B51" s="383" t="inlineStr"/>
      <c r="C51" s="383" t="inlineStr"/>
      <c r="D51" s="383" t="inlineStr">
        <is>
          <t>2026-11-30</t>
        </is>
      </c>
      <c r="E51" s="383" t="inlineStr"/>
      <c r="F51" s="383" t="inlineStr"/>
      <c r="G51" s="76" t="inlineStr">
        <is>
          <t>Connect: Self-Assessment 16.02 - What Is Your</t>
        </is>
      </c>
    </row>
    <row r="52">
      <c r="A52" s="82" t="inlineStr">
        <is>
          <t>Homework</t>
        </is>
      </c>
      <c r="B52" s="383" t="inlineStr"/>
      <c r="C52" s="383" t="inlineStr"/>
      <c r="D52" s="383" t="inlineStr">
        <is>
          <t>2026-11-30</t>
        </is>
      </c>
      <c r="E52" s="383" t="inlineStr"/>
      <c r="F52" s="383" t="inlineStr"/>
      <c r="G52" s="76" t="inlineStr">
        <is>
          <t>Connect: Self-Assessment 16.03 - Assessing Your</t>
        </is>
      </c>
    </row>
    <row r="53">
      <c r="A53" s="82" t="inlineStr">
        <is>
          <t>Homework</t>
        </is>
      </c>
      <c r="B53" s="383" t="inlineStr"/>
      <c r="C53" s="383" t="inlineStr"/>
      <c r="D53" s="383" t="inlineStr">
        <is>
          <t>2026-12-20</t>
        </is>
      </c>
      <c r="E53" s="383" t="inlineStr"/>
      <c r="F53" s="383" t="inlineStr"/>
      <c r="G53" s="76" t="inlineStr">
        <is>
          <t>Connect: Self-Assessment 12.02 - Which influence</t>
        </is>
      </c>
    </row>
    <row r="54">
      <c r="A54" s="29" t="inlineStr">
        <is>
          <t>Total</t>
        </is>
      </c>
      <c r="B54" s="83" t="inlineStr">
        <is>
          <t>100%</t>
        </is>
      </c>
    </row>
  </sheetData>
  <mergeCells count="7">
    <mergeCell ref="B3:G3"/>
    <mergeCell ref="A1:G1"/>
    <mergeCell ref="B8:G8"/>
    <mergeCell ref="B4:G4"/>
    <mergeCell ref="A2:G2"/>
    <mergeCell ref="A7:G7"/>
    <mergeCell ref="B6:G6"/>
  </mergeCells>
  <pageMargins left="0.75" right="0.75" top="1" bottom="1" header="0.5" footer="0.5"/>
</worksheet>
</file>

<file path=xl/worksheets/sheet6.xml><?xml version="1.0" encoding="utf-8"?>
<worksheet xmlns="http://schemas.openxmlformats.org/spreadsheetml/2006/main">
  <sheetPr>
    <tabColor rgb="009467BD"/>
    <outlinePr summaryBelow="1" summaryRight="1"/>
    <pageSetUpPr/>
  </sheetPr>
  <dimension ref="A1:G59"/>
  <sheetViews>
    <sheetView workbookViewId="0">
      <pane ySplit="9" topLeftCell="A10"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121" t="inlineStr">
        <is>
          <t>ECON-351 — Microeconomics for Business</t>
        </is>
      </c>
    </row>
    <row r="2" ht="40" customHeight="1">
      <c r="A2" s="28">
        <f>HYPERLINK("https://raw.githubusercontent.com/vengeanceaiUSC/Syllabus-/cursor/add-syllabus-dissector-skill-a676/output/sources/econ-351-source.pdf","SEE HERE")</f>
        <v/>
      </c>
    </row>
    <row r="3">
      <c r="A3" s="29" t="inlineStr">
        <is>
          <t>Instructor</t>
        </is>
      </c>
      <c r="B3" t="inlineStr">
        <is>
          <t>Alejandro Martínez-Marquina / João Ramos</t>
        </is>
      </c>
    </row>
    <row r="4">
      <c r="A4" s="29" t="inlineStr">
        <is>
          <t>Term</t>
        </is>
      </c>
      <c r="B4" t="inlineStr">
        <is>
          <t>Fall 2026</t>
        </is>
      </c>
    </row>
    <row r="5">
      <c r="A5" s="29" t="inlineStr">
        <is>
          <t>Required for an A</t>
        </is>
      </c>
      <c r="B5" s="30" t="inlineStr">
        <is>
          <t>85%+ (rough guideline)</t>
        </is>
      </c>
    </row>
    <row r="6">
      <c r="A6" s="29" t="inlineStr">
        <is>
          <t>Grading scale</t>
        </is>
      </c>
      <c r="B6" t="inlineStr">
        <is>
          <t>Each course requirement receives a numerical score but not a letter grade. The overall numerical score in the course is converted into a letter grade at the end of the semester in accordance with the Marshall School guidelines. The instructor’s evaluation of the performance of each individual student is the final basis for assigning grades. Each student will be given a grade based on the student's performance in class and demonstrated mastery of the course learning objectives. In the past, students with grades below 60% received either a D or an F (below 50%) in the course. Students with grades between 60% and 70% received a C, 70% and 85% a B, and above 85% an A. However, I emphasize again that these are only rough guidelines – grades will be determined as specified above.</t>
        </is>
      </c>
    </row>
    <row r="7" ht="28" customHeight="1">
      <c r="A7" s="122" t="inlineStr">
        <is>
          <t>First midterm exam 20%  |  Second midterm exam 20%  |  Third midterm exam 20%  |  Fourth midterm exam 20%  |  AI Forecast Project 10%  |  Homework 10%</t>
        </is>
      </c>
    </row>
    <row r="9">
      <c r="A9" s="123" t="inlineStr">
        <is>
          <t>Category</t>
        </is>
      </c>
      <c r="B9" s="123" t="inlineStr">
        <is>
          <t>Weight</t>
        </is>
      </c>
      <c r="C9" s="123" t="inlineStr">
        <is>
          <t>Start Date</t>
        </is>
      </c>
      <c r="D9" s="123" t="inlineStr">
        <is>
          <t>Due Date</t>
        </is>
      </c>
      <c r="E9" s="123" t="inlineStr">
        <is>
          <t>Status</t>
        </is>
      </c>
      <c r="F9" s="123" t="inlineStr">
        <is>
          <t>Group Project</t>
        </is>
      </c>
      <c r="G9" s="123" t="inlineStr">
        <is>
          <t>Details</t>
        </is>
      </c>
    </row>
    <row r="10">
      <c r="A10" s="124" t="inlineStr">
        <is>
          <t>First midterm exam</t>
        </is>
      </c>
      <c r="B10" s="391" t="inlineStr">
        <is>
          <t>20%</t>
        </is>
      </c>
      <c r="C10" s="392" t="inlineStr"/>
      <c r="D10" s="392" t="inlineStr">
        <is>
          <t>2026-09-14</t>
        </is>
      </c>
      <c r="E10" s="392" t="inlineStr"/>
      <c r="F10" s="392" t="inlineStr">
        <is>
          <t>No</t>
        </is>
      </c>
      <c r="G10" s="127">
        <f>HYPERLINK("https://raw.githubusercontent.com/vengeanceaiUSC/Syllabus-/cursor/add-syllabus-dissector-skill-a676/output/documents/econ-351-first-midterm-exam.pdf","Open PDF")</f>
        <v/>
      </c>
    </row>
    <row r="11">
      <c r="A11" s="128" t="inlineStr">
        <is>
          <t>Exam</t>
        </is>
      </c>
      <c r="B11" s="393" t="inlineStr"/>
      <c r="C11" s="393" t="inlineStr"/>
      <c r="D11" s="393" t="inlineStr">
        <is>
          <t>2026-09-14</t>
        </is>
      </c>
      <c r="E11" s="393" t="inlineStr"/>
      <c r="F11" s="393" t="inlineStr"/>
      <c r="G11" s="130" t="inlineStr">
        <is>
          <t>Midterm 1 — covers Chapters 4 and 9</t>
        </is>
      </c>
    </row>
    <row r="12">
      <c r="A12" s="131" t="inlineStr">
        <is>
          <t>Second midterm exam</t>
        </is>
      </c>
      <c r="B12" s="391" t="inlineStr">
        <is>
          <t>20%</t>
        </is>
      </c>
      <c r="C12" s="394" t="inlineStr"/>
      <c r="D12" s="394" t="inlineStr">
        <is>
          <t>2026-10-12</t>
        </is>
      </c>
      <c r="E12" s="394" t="inlineStr"/>
      <c r="F12" s="394" t="inlineStr">
        <is>
          <t>No</t>
        </is>
      </c>
      <c r="G12" s="133">
        <f>HYPERLINK("https://raw.githubusercontent.com/vengeanceaiUSC/Syllabus-/cursor/add-syllabus-dissector-skill-a676/output/documents/econ-351-second-midterm-exam.pdf","Open PDF")</f>
        <v/>
      </c>
    </row>
    <row r="13">
      <c r="A13" s="128" t="inlineStr">
        <is>
          <t>Exam</t>
        </is>
      </c>
      <c r="B13" s="393" t="inlineStr"/>
      <c r="C13" s="393" t="inlineStr"/>
      <c r="D13" s="393" t="inlineStr">
        <is>
          <t>2026-10-12</t>
        </is>
      </c>
      <c r="E13" s="393" t="inlineStr"/>
      <c r="F13" s="393" t="inlineStr"/>
      <c r="G13" s="130" t="inlineStr">
        <is>
          <t>Midterm 2 — covers Chapters 3, 5, and 6</t>
        </is>
      </c>
    </row>
    <row r="14">
      <c r="A14" s="124" t="inlineStr">
        <is>
          <t>Third midterm exam</t>
        </is>
      </c>
      <c r="B14" s="391" t="inlineStr">
        <is>
          <t>20%</t>
        </is>
      </c>
      <c r="C14" s="392" t="inlineStr"/>
      <c r="D14" s="392" t="inlineStr">
        <is>
          <t>2026-11-04</t>
        </is>
      </c>
      <c r="E14" s="392" t="inlineStr"/>
      <c r="F14" s="392" t="inlineStr">
        <is>
          <t>No</t>
        </is>
      </c>
      <c r="G14" s="127">
        <f>HYPERLINK("https://raw.githubusercontent.com/vengeanceaiUSC/Syllabus-/cursor/add-syllabus-dissector-skill-a676/output/documents/econ-351-third-midterm-exam.pdf","Open PDF")</f>
        <v/>
      </c>
    </row>
    <row r="15">
      <c r="A15" s="128" t="inlineStr">
        <is>
          <t>Exam</t>
        </is>
      </c>
      <c r="B15" s="393" t="inlineStr"/>
      <c r="C15" s="393" t="inlineStr"/>
      <c r="D15" s="393" t="inlineStr">
        <is>
          <t>2026-11-04</t>
        </is>
      </c>
      <c r="E15" s="393" t="inlineStr"/>
      <c r="F15" s="393" t="inlineStr"/>
      <c r="G15" s="130" t="inlineStr">
        <is>
          <t>Midterm 3 — covers Chapters 7, 8, and 10</t>
        </is>
      </c>
    </row>
    <row r="16">
      <c r="A16" s="131" t="inlineStr">
        <is>
          <t>Fourth midterm exam</t>
        </is>
      </c>
      <c r="B16" s="391" t="inlineStr">
        <is>
          <t>20%</t>
        </is>
      </c>
      <c r="C16" s="394" t="inlineStr"/>
      <c r="D16" s="394" t="inlineStr">
        <is>
          <t>2026-12-02</t>
        </is>
      </c>
      <c r="E16" s="394" t="inlineStr"/>
      <c r="F16" s="394" t="inlineStr">
        <is>
          <t>No</t>
        </is>
      </c>
      <c r="G16" s="133">
        <f>HYPERLINK("https://raw.githubusercontent.com/vengeanceaiUSC/Syllabus-/cursor/add-syllabus-dissector-skill-a676/output/documents/econ-351-fourth-midterm-exam.pdf","Open PDF")</f>
        <v/>
      </c>
    </row>
    <row r="17">
      <c r="A17" s="128" t="inlineStr">
        <is>
          <t>Exam</t>
        </is>
      </c>
      <c r="B17" s="393" t="inlineStr"/>
      <c r="C17" s="393" t="inlineStr"/>
      <c r="D17" s="393" t="inlineStr">
        <is>
          <t>2026-12-02</t>
        </is>
      </c>
      <c r="E17" s="393" t="inlineStr"/>
      <c r="F17" s="393" t="inlineStr"/>
      <c r="G17" s="130" t="inlineStr">
        <is>
          <t>Midterm 4 — covers Chapters 11, 12, and 13</t>
        </is>
      </c>
    </row>
    <row r="18">
      <c r="A18" s="124" t="inlineStr">
        <is>
          <t>AI Forecast Project</t>
        </is>
      </c>
      <c r="B18" s="391" t="inlineStr">
        <is>
          <t>10%</t>
        </is>
      </c>
      <c r="C18" s="392" t="inlineStr"/>
      <c r="D18" s="392" t="inlineStr">
        <is>
          <t>2026-12-11</t>
        </is>
      </c>
      <c r="E18" s="392" t="inlineStr"/>
      <c r="F18" s="392" t="inlineStr">
        <is>
          <t>No</t>
        </is>
      </c>
      <c r="G18" s="127">
        <f>HYPERLINK("https://raw.githubusercontent.com/vengeanceaiUSC/Syllabus-/cursor/add-syllabus-dissector-skill-a676/output/documents/econ-351-ai-forecast-project.pdf","Open PDF")</f>
        <v/>
      </c>
    </row>
    <row r="19">
      <c r="A19" s="134" t="inlineStr">
        <is>
          <t>Assignment</t>
        </is>
      </c>
      <c r="B19" s="393" t="inlineStr"/>
      <c r="C19" s="393" t="inlineStr"/>
      <c r="D19" s="393" t="inlineStr">
        <is>
          <t>2026-10-02</t>
        </is>
      </c>
      <c r="E19" s="393" t="inlineStr"/>
      <c r="F19" s="393" t="inlineStr"/>
      <c r="G19" s="130" t="inlineStr">
        <is>
          <t>AI Forecast Project — Part I</t>
        </is>
      </c>
    </row>
    <row r="20">
      <c r="A20" s="134" t="inlineStr">
        <is>
          <t>Assignment</t>
        </is>
      </c>
      <c r="B20" s="393" t="inlineStr"/>
      <c r="C20" s="393" t="inlineStr"/>
      <c r="D20" s="393" t="inlineStr">
        <is>
          <t>2026-12-11</t>
        </is>
      </c>
      <c r="E20" s="393" t="inlineStr"/>
      <c r="F20" s="393" t="inlineStr"/>
      <c r="G20" s="130" t="inlineStr">
        <is>
          <t>AI Forecast Project — Part II</t>
        </is>
      </c>
    </row>
    <row r="21">
      <c r="A21" s="131" t="inlineStr">
        <is>
          <t>Homework</t>
        </is>
      </c>
      <c r="B21" s="391" t="inlineStr">
        <is>
          <t>10%</t>
        </is>
      </c>
      <c r="C21" s="394" t="inlineStr"/>
      <c r="D21" s="394" t="inlineStr">
        <is>
          <t>2026-11-27</t>
        </is>
      </c>
      <c r="E21" s="394" t="inlineStr"/>
      <c r="F21" s="394" t="inlineStr">
        <is>
          <t>No</t>
        </is>
      </c>
      <c r="G21" s="133">
        <f>HYPERLINK("https://raw.githubusercontent.com/vengeanceaiUSC/Syllabus-/cursor/add-syllabus-dissector-skill-a676/output/documents/econ-351-homework.pdf","Open PDF")</f>
        <v/>
      </c>
    </row>
    <row r="22">
      <c r="A22" s="135" t="inlineStr">
        <is>
          <t>Reading</t>
        </is>
      </c>
      <c r="B22" s="393" t="inlineStr"/>
      <c r="C22" s="393" t="inlineStr"/>
      <c r="D22" s="393" t="inlineStr"/>
      <c r="E22" s="393" t="inlineStr"/>
      <c r="F22" s="393" t="inlineStr"/>
      <c r="G22" s="130" t="inlineStr">
        <is>
          <t>Finals Week: - AI Project – Part II due December 11</t>
        </is>
      </c>
    </row>
    <row r="23">
      <c r="A23" s="135" t="inlineStr">
        <is>
          <t>Reading</t>
        </is>
      </c>
      <c r="B23" s="393" t="inlineStr"/>
      <c r="C23" s="393" t="inlineStr"/>
      <c r="D23" s="393" t="inlineStr">
        <is>
          <t>2026-08-24</t>
        </is>
      </c>
      <c r="E23" s="393" t="inlineStr"/>
      <c r="F23" s="393" t="inlineStr"/>
      <c r="G23" s="130" t="inlineStr">
        <is>
          <t>Week 1: Aug.24/26 - Complete the math self-assessment on Brightspace</t>
        </is>
      </c>
    </row>
    <row r="24">
      <c r="A24" s="135" t="inlineStr">
        <is>
          <t>Reading</t>
        </is>
      </c>
      <c r="B24" s="393" t="inlineStr"/>
      <c r="C24" s="393" t="inlineStr"/>
      <c r="D24" s="393" t="inlineStr">
        <is>
          <t>2026-08-24</t>
        </is>
      </c>
      <c r="E24" s="393" t="inlineStr"/>
      <c r="F24" s="393" t="inlineStr"/>
      <c r="G24" s="130" t="inlineStr">
        <is>
          <t>Week 1: Aug.24/26 - Read Chapters 2 and 4</t>
        </is>
      </c>
    </row>
    <row r="25">
      <c r="A25" s="135" t="inlineStr">
        <is>
          <t>Reading</t>
        </is>
      </c>
      <c r="B25" s="393" t="inlineStr"/>
      <c r="C25" s="393" t="inlineStr"/>
      <c r="D25" s="393" t="inlineStr">
        <is>
          <t>2026-08-24</t>
        </is>
      </c>
      <c r="E25" s="393" t="inlineStr"/>
      <c r="F25" s="393" t="inlineStr"/>
      <c r="G25" s="130" t="inlineStr">
        <is>
          <t>Week 1: Aug.24/26 - Read the syllabus</t>
        </is>
      </c>
    </row>
    <row r="26">
      <c r="A26" s="135" t="inlineStr">
        <is>
          <t>Reading</t>
        </is>
      </c>
      <c r="B26" s="393" t="inlineStr"/>
      <c r="C26" s="393" t="inlineStr"/>
      <c r="D26" s="393" t="inlineStr">
        <is>
          <t>2026-09-04</t>
        </is>
      </c>
      <c r="E26" s="393" t="inlineStr"/>
      <c r="F26" s="393" t="inlineStr"/>
      <c r="G26" s="130" t="inlineStr">
        <is>
          <t>Week 2: Aug.31/Sep.2 - Begin Chapter 9: Uncertainty</t>
        </is>
      </c>
    </row>
    <row r="27">
      <c r="A27" s="135" t="inlineStr">
        <is>
          <t>Reading</t>
        </is>
      </c>
      <c r="B27" s="393" t="inlineStr"/>
      <c r="C27" s="393" t="inlineStr"/>
      <c r="D27" s="393" t="inlineStr">
        <is>
          <t>2026-09-04</t>
        </is>
      </c>
      <c r="E27" s="393" t="inlineStr"/>
      <c r="F27" s="393" t="inlineStr"/>
      <c r="G27" s="130" t="inlineStr">
        <is>
          <t>Week 2: Aug.31/Sep.2 - Finish reading Chapter 4 (in-class dis- cussion)</t>
        </is>
      </c>
    </row>
    <row r="28">
      <c r="A28" s="136" t="inlineStr">
        <is>
          <t>Homework</t>
        </is>
      </c>
      <c r="B28" s="393" t="inlineStr"/>
      <c r="C28" s="393" t="inlineStr"/>
      <c r="D28" s="393" t="inlineStr">
        <is>
          <t>2026-09-04</t>
        </is>
      </c>
      <c r="E28" s="393" t="inlineStr"/>
      <c r="F28" s="393" t="inlineStr"/>
      <c r="G28" s="130" t="inlineStr">
        <is>
          <t>Homework 1 (Chapter 4) — Brightspace, due 11:59 pm</t>
        </is>
      </c>
    </row>
    <row r="29">
      <c r="A29" s="135" t="inlineStr">
        <is>
          <t>Reading</t>
        </is>
      </c>
      <c r="B29" s="393" t="inlineStr"/>
      <c r="C29" s="393" t="inlineStr"/>
      <c r="D29" s="393" t="inlineStr">
        <is>
          <t>2026-09-11</t>
        </is>
      </c>
      <c r="E29" s="393" t="inlineStr"/>
      <c r="F29" s="393" t="inlineStr"/>
      <c r="G29" s="130" t="inlineStr">
        <is>
          <t>Week 3: Sep.7/9 - Discussion of Chapter 9</t>
        </is>
      </c>
    </row>
    <row r="30">
      <c r="A30" s="135" t="inlineStr">
        <is>
          <t>Reading</t>
        </is>
      </c>
      <c r="B30" s="393" t="inlineStr"/>
      <c r="C30" s="393" t="inlineStr"/>
      <c r="D30" s="393" t="inlineStr">
        <is>
          <t>2026-09-11</t>
        </is>
      </c>
      <c r="E30" s="393" t="inlineStr"/>
      <c r="F30" s="393" t="inlineStr"/>
      <c r="G30" s="130" t="inlineStr">
        <is>
          <t>Week 3: Sep.7/9 - No class Monday Sep.7 (Labor Day)</t>
        </is>
      </c>
    </row>
    <row r="31">
      <c r="A31" s="136" t="inlineStr">
        <is>
          <t>Homework</t>
        </is>
      </c>
      <c r="B31" s="393" t="inlineStr"/>
      <c r="C31" s="393" t="inlineStr"/>
      <c r="D31" s="393" t="inlineStr">
        <is>
          <t>2026-09-11</t>
        </is>
      </c>
      <c r="E31" s="393" t="inlineStr"/>
      <c r="F31" s="393" t="inlineStr"/>
      <c r="G31" s="130" t="inlineStr">
        <is>
          <t>Homework 2 (Chapter 9) — Brightspace, due 11:59 pm</t>
        </is>
      </c>
    </row>
    <row r="32">
      <c r="A32" s="136" t="inlineStr">
        <is>
          <t>Homework</t>
        </is>
      </c>
      <c r="B32" s="393" t="inlineStr"/>
      <c r="C32" s="393" t="inlineStr"/>
      <c r="D32" s="393" t="inlineStr">
        <is>
          <t>2026-09-18</t>
        </is>
      </c>
      <c r="E32" s="393" t="inlineStr"/>
      <c r="F32" s="393" t="inlineStr"/>
      <c r="G32" s="130" t="inlineStr">
        <is>
          <t>Homework 3 — Brightspace, due 11:59 pm</t>
        </is>
      </c>
    </row>
    <row r="33">
      <c r="A33" s="135" t="inlineStr">
        <is>
          <t>Reading</t>
        </is>
      </c>
      <c r="B33" s="393" t="inlineStr"/>
      <c r="C33" s="393" t="inlineStr"/>
      <c r="D33" s="393" t="inlineStr">
        <is>
          <t>2026-09-25</t>
        </is>
      </c>
      <c r="E33" s="393" t="inlineStr"/>
      <c r="F33" s="393" t="inlineStr"/>
      <c r="G33" s="130" t="inlineStr">
        <is>
          <t>Week 5: Sep.21/23 - Complete the Chapter 3 - Part II home- work on Brightspace (due Sep.25)</t>
        </is>
      </c>
    </row>
    <row r="34">
      <c r="A34" s="135" t="inlineStr">
        <is>
          <t>Reading</t>
        </is>
      </c>
      <c r="B34" s="393" t="inlineStr"/>
      <c r="C34" s="393" t="inlineStr"/>
      <c r="D34" s="393" t="inlineStr">
        <is>
          <t>2026-09-25</t>
        </is>
      </c>
      <c r="E34" s="393" t="inlineStr"/>
      <c r="F34" s="393" t="inlineStr"/>
      <c r="G34" s="130" t="inlineStr">
        <is>
          <t>Week 5: Sep.21/23 - Discussion of Chapter 3</t>
        </is>
      </c>
    </row>
    <row r="35">
      <c r="A35" s="135" t="inlineStr">
        <is>
          <t>Reading</t>
        </is>
      </c>
      <c r="B35" s="393" t="inlineStr"/>
      <c r="C35" s="393" t="inlineStr"/>
      <c r="D35" s="393" t="inlineStr">
        <is>
          <t>2026-09-25</t>
        </is>
      </c>
      <c r="E35" s="393" t="inlineStr"/>
      <c r="F35" s="393" t="inlineStr"/>
      <c r="G35" s="130" t="inlineStr">
        <is>
          <t>Week 5: Sep.21/23 - Finish reading Chapter 3</t>
        </is>
      </c>
    </row>
    <row r="36">
      <c r="A36" s="136" t="inlineStr">
        <is>
          <t>Homework</t>
        </is>
      </c>
      <c r="B36" s="393" t="inlineStr"/>
      <c r="C36" s="393" t="inlineStr"/>
      <c r="D36" s="393" t="inlineStr">
        <is>
          <t>2026-09-25</t>
        </is>
      </c>
      <c r="E36" s="393" t="inlineStr"/>
      <c r="F36" s="393" t="inlineStr"/>
      <c r="G36" s="130" t="inlineStr">
        <is>
          <t>Homework 4 (Chapter 3) — Brightspace, due 11:59 pm</t>
        </is>
      </c>
    </row>
    <row r="37">
      <c r="A37" s="135" t="inlineStr">
        <is>
          <t>Reading</t>
        </is>
      </c>
      <c r="B37" s="393" t="inlineStr"/>
      <c r="C37" s="393" t="inlineStr"/>
      <c r="D37" s="393" t="inlineStr">
        <is>
          <t>2026-10-02</t>
        </is>
      </c>
      <c r="E37" s="393" t="inlineStr"/>
      <c r="F37" s="393" t="inlineStr"/>
      <c r="G37" s="130" t="inlineStr">
        <is>
          <t>Week 6: Sep.28/30 - AI Project – Part I due October 2</t>
        </is>
      </c>
    </row>
    <row r="38">
      <c r="A38" s="135" t="inlineStr">
        <is>
          <t>Reading</t>
        </is>
      </c>
      <c r="B38" s="393" t="inlineStr"/>
      <c r="C38" s="393" t="inlineStr"/>
      <c r="D38" s="393" t="inlineStr">
        <is>
          <t>2026-10-02</t>
        </is>
      </c>
      <c r="E38" s="393" t="inlineStr"/>
      <c r="F38" s="393" t="inlineStr"/>
      <c r="G38" s="130" t="inlineStr">
        <is>
          <t>Week 6: Sep.28/30 - Discussion of Chapter 5</t>
        </is>
      </c>
    </row>
    <row r="39">
      <c r="A39" s="135" t="inlineStr">
        <is>
          <t>Reading</t>
        </is>
      </c>
      <c r="B39" s="393" t="inlineStr"/>
      <c r="C39" s="393" t="inlineStr"/>
      <c r="D39" s="393" t="inlineStr">
        <is>
          <t>2026-10-02</t>
        </is>
      </c>
      <c r="E39" s="393" t="inlineStr"/>
      <c r="F39" s="393" t="inlineStr"/>
      <c r="G39" s="130" t="inlineStr">
        <is>
          <t>Week 6: Sep.28/30 - Read Chapter 5</t>
        </is>
      </c>
    </row>
    <row r="40">
      <c r="A40" s="136" t="inlineStr">
        <is>
          <t>Homework</t>
        </is>
      </c>
      <c r="B40" s="393" t="inlineStr"/>
      <c r="C40" s="393" t="inlineStr"/>
      <c r="D40" s="393" t="inlineStr">
        <is>
          <t>2026-10-02</t>
        </is>
      </c>
      <c r="E40" s="393" t="inlineStr"/>
      <c r="F40" s="393" t="inlineStr"/>
      <c r="G40" s="130" t="inlineStr">
        <is>
          <t>Homework 5 (Chapter 5) — Brightspace, due 11:59 pm</t>
        </is>
      </c>
    </row>
    <row r="41">
      <c r="A41" s="135" t="inlineStr">
        <is>
          <t>Reading</t>
        </is>
      </c>
      <c r="B41" s="393" t="inlineStr"/>
      <c r="C41" s="393" t="inlineStr"/>
      <c r="D41" s="393" t="inlineStr">
        <is>
          <t>2026-10-09</t>
        </is>
      </c>
      <c r="E41" s="393" t="inlineStr"/>
      <c r="F41" s="393" t="inlineStr"/>
      <c r="G41" s="130" t="inlineStr">
        <is>
          <t>Week 7: Oct.5/7 - Midterm review on Oct.7</t>
        </is>
      </c>
    </row>
    <row r="42">
      <c r="A42" s="135" t="inlineStr">
        <is>
          <t>Reading</t>
        </is>
      </c>
      <c r="B42" s="393" t="inlineStr"/>
      <c r="C42" s="393" t="inlineStr"/>
      <c r="D42" s="393" t="inlineStr">
        <is>
          <t>2026-10-09</t>
        </is>
      </c>
      <c r="E42" s="393" t="inlineStr"/>
      <c r="F42" s="393" t="inlineStr"/>
      <c r="G42" s="130" t="inlineStr">
        <is>
          <t>Week 7: Oct.5/7 - Read Chapter 6</t>
        </is>
      </c>
    </row>
    <row r="43">
      <c r="A43" s="136" t="inlineStr">
        <is>
          <t>Homework</t>
        </is>
      </c>
      <c r="B43" s="393" t="inlineStr"/>
      <c r="C43" s="393" t="inlineStr"/>
      <c r="D43" s="393" t="inlineStr">
        <is>
          <t>2026-10-09</t>
        </is>
      </c>
      <c r="E43" s="393" t="inlineStr"/>
      <c r="F43" s="393" t="inlineStr"/>
      <c r="G43" s="130" t="inlineStr">
        <is>
          <t>Homework 6 (Chapter 6) — Brightspace, due 11:59 pm</t>
        </is>
      </c>
    </row>
    <row r="44">
      <c r="A44" s="136" t="inlineStr">
        <is>
          <t>Homework</t>
        </is>
      </c>
      <c r="B44" s="393" t="inlineStr"/>
      <c r="C44" s="393" t="inlineStr"/>
      <c r="D44" s="393" t="inlineStr">
        <is>
          <t>2026-10-16</t>
        </is>
      </c>
      <c r="E44" s="393" t="inlineStr"/>
      <c r="F44" s="393" t="inlineStr"/>
      <c r="G44" s="130" t="inlineStr">
        <is>
          <t>Homework 7 — Brightspace, due 11:59 pm</t>
        </is>
      </c>
    </row>
    <row r="45">
      <c r="A45" s="135" t="inlineStr">
        <is>
          <t>Reading</t>
        </is>
      </c>
      <c r="B45" s="393" t="inlineStr"/>
      <c r="C45" s="393" t="inlineStr"/>
      <c r="D45" s="393" t="inlineStr">
        <is>
          <t>2026-10-23</t>
        </is>
      </c>
      <c r="E45" s="393" t="inlineStr"/>
      <c r="F45" s="393" t="inlineStr"/>
      <c r="G45" s="130" t="inlineStr">
        <is>
          <t>Week 9: Oct.19/21 - Read Chapter 8</t>
        </is>
      </c>
    </row>
    <row r="46">
      <c r="A46" s="136" t="inlineStr">
        <is>
          <t>Homework</t>
        </is>
      </c>
      <c r="B46" s="393" t="inlineStr"/>
      <c r="C46" s="393" t="inlineStr"/>
      <c r="D46" s="393" t="inlineStr">
        <is>
          <t>2026-10-23</t>
        </is>
      </c>
      <c r="E46" s="393" t="inlineStr"/>
      <c r="F46" s="393" t="inlineStr"/>
      <c r="G46" s="130" t="inlineStr">
        <is>
          <t>Homework 8 (Chapter 8) — Brightspace, due 11:59 pm</t>
        </is>
      </c>
    </row>
    <row r="47">
      <c r="A47" s="135" t="inlineStr">
        <is>
          <t>Reading</t>
        </is>
      </c>
      <c r="B47" s="393" t="inlineStr"/>
      <c r="C47" s="393" t="inlineStr"/>
      <c r="D47" s="393" t="inlineStr">
        <is>
          <t>2026-10-30</t>
        </is>
      </c>
      <c r="E47" s="393" t="inlineStr"/>
      <c r="F47" s="393" t="inlineStr"/>
      <c r="G47" s="130" t="inlineStr">
        <is>
          <t>Week 10: Oct.26/28 - Read Chapter 10</t>
        </is>
      </c>
    </row>
    <row r="48">
      <c r="A48" s="136" t="inlineStr">
        <is>
          <t>Homework</t>
        </is>
      </c>
      <c r="B48" s="393" t="inlineStr"/>
      <c r="C48" s="393" t="inlineStr"/>
      <c r="D48" s="393" t="inlineStr">
        <is>
          <t>2026-10-30</t>
        </is>
      </c>
      <c r="E48" s="393" t="inlineStr"/>
      <c r="F48" s="393" t="inlineStr"/>
      <c r="G48" s="130" t="inlineStr">
        <is>
          <t>Homework 9 (Chapter 10) — Brightspace, due 11:59 pm</t>
        </is>
      </c>
    </row>
    <row r="49">
      <c r="A49" s="135" t="inlineStr">
        <is>
          <t>Reading</t>
        </is>
      </c>
      <c r="B49" s="393" t="inlineStr"/>
      <c r="C49" s="393" t="inlineStr"/>
      <c r="D49" s="393" t="inlineStr">
        <is>
          <t>2026-11-13</t>
        </is>
      </c>
      <c r="E49" s="393" t="inlineStr"/>
      <c r="F49" s="393" t="inlineStr"/>
      <c r="G49" s="130" t="inlineStr">
        <is>
          <t>Week 12: Nov.9/11 - No class Wednesday Nov.11 (Veterans Day)</t>
        </is>
      </c>
    </row>
    <row r="50">
      <c r="A50" s="135" t="inlineStr">
        <is>
          <t>Reading</t>
        </is>
      </c>
      <c r="B50" s="393" t="inlineStr"/>
      <c r="C50" s="393" t="inlineStr"/>
      <c r="D50" s="393" t="inlineStr">
        <is>
          <t>2026-11-13</t>
        </is>
      </c>
      <c r="E50" s="393" t="inlineStr"/>
      <c r="F50" s="393" t="inlineStr"/>
      <c r="G50" s="130" t="inlineStr">
        <is>
          <t>Week 12: Nov.9/11 - Read Chapter 11</t>
        </is>
      </c>
    </row>
    <row r="51">
      <c r="A51" s="136" t="inlineStr">
        <is>
          <t>Homework</t>
        </is>
      </c>
      <c r="B51" s="393" t="inlineStr"/>
      <c r="C51" s="393" t="inlineStr"/>
      <c r="D51" s="393" t="inlineStr">
        <is>
          <t>2026-11-13</t>
        </is>
      </c>
      <c r="E51" s="393" t="inlineStr"/>
      <c r="F51" s="393" t="inlineStr"/>
      <c r="G51" s="130" t="inlineStr">
        <is>
          <t>Homework 10 (Chapter 11) — Brightspace, due 11:59 pm</t>
        </is>
      </c>
    </row>
    <row r="52">
      <c r="A52" s="135" t="inlineStr">
        <is>
          <t>Reading</t>
        </is>
      </c>
      <c r="B52" s="393" t="inlineStr"/>
      <c r="C52" s="393" t="inlineStr"/>
      <c r="D52" s="393" t="inlineStr">
        <is>
          <t>2026-11-20</t>
        </is>
      </c>
      <c r="E52" s="393" t="inlineStr"/>
      <c r="F52" s="393" t="inlineStr"/>
      <c r="G52" s="130" t="inlineStr">
        <is>
          <t>Week 13: Nov.16/18 - Read Chapter 12</t>
        </is>
      </c>
    </row>
    <row r="53">
      <c r="A53" s="136" t="inlineStr">
        <is>
          <t>Homework</t>
        </is>
      </c>
      <c r="B53" s="393" t="inlineStr"/>
      <c r="C53" s="393" t="inlineStr"/>
      <c r="D53" s="393" t="inlineStr">
        <is>
          <t>2026-11-20</t>
        </is>
      </c>
      <c r="E53" s="393" t="inlineStr"/>
      <c r="F53" s="393" t="inlineStr"/>
      <c r="G53" s="130" t="inlineStr">
        <is>
          <t>Homework 11 (Chapter 12) — Brightspace, due 11:59 pm</t>
        </is>
      </c>
    </row>
    <row r="54">
      <c r="A54" s="135" t="inlineStr">
        <is>
          <t>Reading</t>
        </is>
      </c>
      <c r="B54" s="393" t="inlineStr"/>
      <c r="C54" s="393" t="inlineStr"/>
      <c r="D54" s="393" t="inlineStr">
        <is>
          <t>2026-11-27</t>
        </is>
      </c>
      <c r="E54" s="393" t="inlineStr"/>
      <c r="F54" s="393" t="inlineStr"/>
      <c r="G54" s="130" t="inlineStr">
        <is>
          <t>Week 14: Nov.23 - Complete the Chapter 12+13 home- work on Brightspace (due Nov.27)</t>
        </is>
      </c>
    </row>
    <row r="55">
      <c r="A55" s="135" t="inlineStr">
        <is>
          <t>Reading</t>
        </is>
      </c>
      <c r="B55" s="393" t="inlineStr"/>
      <c r="C55" s="393" t="inlineStr"/>
      <c r="D55" s="393" t="inlineStr">
        <is>
          <t>2026-11-27</t>
        </is>
      </c>
      <c r="E55" s="393" t="inlineStr"/>
      <c r="F55" s="393" t="inlineStr"/>
      <c r="G55" s="130" t="inlineStr">
        <is>
          <t>Week 14: Nov.23 - No class Wednesday Nov.25 (Thanks- giving)</t>
        </is>
      </c>
    </row>
    <row r="56">
      <c r="A56" s="135" t="inlineStr">
        <is>
          <t>Reading</t>
        </is>
      </c>
      <c r="B56" s="393" t="inlineStr"/>
      <c r="C56" s="393" t="inlineStr"/>
      <c r="D56" s="393" t="inlineStr">
        <is>
          <t>2026-11-27</t>
        </is>
      </c>
      <c r="E56" s="393" t="inlineStr"/>
      <c r="F56" s="393" t="inlineStr"/>
      <c r="G56" s="130" t="inlineStr">
        <is>
          <t>Week 14: Nov.23 - Read Chapter 13</t>
        </is>
      </c>
    </row>
    <row r="57">
      <c r="A57" s="136" t="inlineStr">
        <is>
          <t>Homework</t>
        </is>
      </c>
      <c r="B57" s="393" t="inlineStr"/>
      <c r="C57" s="393" t="inlineStr"/>
      <c r="D57" s="393" t="inlineStr">
        <is>
          <t>2026-11-27</t>
        </is>
      </c>
      <c r="E57" s="393" t="inlineStr"/>
      <c r="F57" s="393" t="inlineStr"/>
      <c r="G57" s="130" t="inlineStr">
        <is>
          <t>Homework 12 (Chapter 13) — Brightspace, due 11:59 pm</t>
        </is>
      </c>
    </row>
    <row r="58">
      <c r="A58" s="124" t="inlineStr">
        <is>
          <t>Extra Credit</t>
        </is>
      </c>
      <c r="B58" s="391" t="inlineStr">
        <is>
          <t>—</t>
        </is>
      </c>
      <c r="C58" s="392" t="inlineStr"/>
      <c r="D58" s="392" t="inlineStr"/>
      <c r="E58" s="392" t="inlineStr"/>
      <c r="F58" s="392" t="inlineStr">
        <is>
          <t>No</t>
        </is>
      </c>
      <c r="G58" s="127">
        <f>HYPERLINK("https://raw.githubusercontent.com/vengeanceaiUSC/Syllabus-/cursor/add-syllabus-dissector-skill-a676/output/documents/econ-351-extra-credit.pdf","Open PDF")</f>
        <v/>
      </c>
    </row>
    <row r="59">
      <c r="A59" s="29" t="inlineStr">
        <is>
          <t>Total</t>
        </is>
      </c>
      <c r="B59" s="137" t="inlineStr">
        <is>
          <t>100%</t>
        </is>
      </c>
    </row>
  </sheetData>
  <mergeCells count="6">
    <mergeCell ref="B3:G3"/>
    <mergeCell ref="A1:G1"/>
    <mergeCell ref="B4:G4"/>
    <mergeCell ref="A2:G2"/>
    <mergeCell ref="A7:G7"/>
    <mergeCell ref="B6:G6"/>
  </mergeCells>
  <pageMargins left="0.75" right="0.75" top="1" bottom="1" header="0.5" footer="0.5"/>
</worksheet>
</file>

<file path=xl/worksheets/sheet7.xml><?xml version="1.0" encoding="utf-8"?>
<worksheet xmlns="http://schemas.openxmlformats.org/spreadsheetml/2006/main">
  <sheetPr>
    <tabColor rgb="00D62728"/>
    <outlinePr summaryBelow="1" summaryRight="1"/>
    <pageSetUpPr/>
  </sheetPr>
  <dimension ref="A1:G44"/>
  <sheetViews>
    <sheetView workbookViewId="0">
      <pane ySplit="9" topLeftCell="A10"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27" t="inlineStr">
        <is>
          <t>HIST-103 — The Emergence of Modern Europe</t>
        </is>
      </c>
    </row>
    <row r="2" ht="40" customHeight="1">
      <c r="A2" s="28">
        <f>HYPERLINK("https://raw.githubusercontent.com/vengeanceaiUSC/Syllabus-/cursor/add-syllabus-dissector-skill-a676/output/sources/hist-103-source.pdf","SEE HERE")</f>
        <v/>
      </c>
    </row>
    <row r="3">
      <c r="A3" s="29" t="inlineStr">
        <is>
          <t>Instructor</t>
        </is>
      </c>
      <c r="B3" t="inlineStr">
        <is>
          <t>Dr. Lindsay O'Neill</t>
        </is>
      </c>
    </row>
    <row r="4">
      <c r="A4" s="29" t="inlineStr">
        <is>
          <t>Term</t>
        </is>
      </c>
      <c r="B4" t="inlineStr">
        <is>
          <t>Fall 2026</t>
        </is>
      </c>
    </row>
    <row r="5">
      <c r="A5" s="29" t="inlineStr">
        <is>
          <t>Required for an A</t>
        </is>
      </c>
      <c r="B5" s="30" t="inlineStr">
        <is>
          <t>93% (100-93)</t>
        </is>
      </c>
    </row>
    <row r="6">
      <c r="A6" s="29" t="inlineStr">
        <is>
          <t>Grading scale</t>
        </is>
      </c>
      <c r="B6" t="inlineStr">
        <is>
          <t>A: 100-93; A-: 92-90; B+: 89-87; B: 86-83; B-: 82-80; C+: 79-77; C: 76-73; C- 72-70 D+: 69-67; D: 66-63; D-: 62-60; F: 59-0</t>
        </is>
      </c>
    </row>
    <row r="7" ht="28" customHeight="1">
      <c r="A7" s="31" t="inlineStr">
        <is>
          <t>Sleep Paper 20%  |  Witchcraft Paper 20%  |  Mid-term 20%  |  Final Exam 20%  |  Discussion Section 15%  |  Identification Quizzes 5%</t>
        </is>
      </c>
    </row>
    <row r="9">
      <c r="A9" s="32" t="inlineStr">
        <is>
          <t>Category</t>
        </is>
      </c>
      <c r="B9" s="32" t="inlineStr">
        <is>
          <t>Weight</t>
        </is>
      </c>
      <c r="C9" s="32" t="inlineStr">
        <is>
          <t>Start Date</t>
        </is>
      </c>
      <c r="D9" s="32" t="inlineStr">
        <is>
          <t>Due Date</t>
        </is>
      </c>
      <c r="E9" s="32" t="inlineStr">
        <is>
          <t>Status</t>
        </is>
      </c>
      <c r="F9" s="32" t="inlineStr">
        <is>
          <t>Group Project</t>
        </is>
      </c>
      <c r="G9" s="32" t="inlineStr">
        <is>
          <t>Details</t>
        </is>
      </c>
    </row>
    <row r="10">
      <c r="A10" s="33" t="inlineStr">
        <is>
          <t>Sleep Paper</t>
        </is>
      </c>
      <c r="B10" s="400" t="inlineStr">
        <is>
          <t>20%</t>
        </is>
      </c>
      <c r="C10" s="401" t="inlineStr"/>
      <c r="D10" s="401" t="inlineStr">
        <is>
          <t>2026-09-15</t>
        </is>
      </c>
      <c r="E10" s="401" t="inlineStr"/>
      <c r="F10" s="401" t="inlineStr">
        <is>
          <t>No</t>
        </is>
      </c>
      <c r="G10" s="36">
        <f>HYPERLINK("https://raw.githubusercontent.com/vengeanceaiUSC/Syllabus-/cursor/add-syllabus-dissector-skill-a676/output/documents/hist-103-sleep-paper.pdf","Open PDF")</f>
        <v/>
      </c>
    </row>
    <row r="11">
      <c r="A11" s="37" t="inlineStr">
        <is>
          <t>Assignment</t>
        </is>
      </c>
      <c r="B11" s="402" t="inlineStr"/>
      <c r="C11" s="402" t="inlineStr"/>
      <c r="D11" s="402" t="inlineStr">
        <is>
          <t>2026-09-15</t>
        </is>
      </c>
      <c r="E11" s="402" t="inlineStr"/>
      <c r="F11" s="402" t="inlineStr"/>
      <c r="G11" s="39" t="inlineStr">
        <is>
          <t>Sleep Paper Due</t>
        </is>
      </c>
    </row>
    <row r="12">
      <c r="A12" s="40" t="inlineStr">
        <is>
          <t>Witchcraft Paper</t>
        </is>
      </c>
      <c r="B12" s="400" t="inlineStr">
        <is>
          <t>20%</t>
        </is>
      </c>
      <c r="C12" s="403" t="inlineStr"/>
      <c r="D12" s="403" t="inlineStr">
        <is>
          <t>2026-11-10</t>
        </is>
      </c>
      <c r="E12" s="403" t="inlineStr"/>
      <c r="F12" s="403" t="inlineStr">
        <is>
          <t>No</t>
        </is>
      </c>
      <c r="G12" s="42">
        <f>HYPERLINK("https://raw.githubusercontent.com/vengeanceaiUSC/Syllabus-/cursor/add-syllabus-dissector-skill-a676/output/documents/hist-103-witchcraft-paper.pdf","Open PDF")</f>
        <v/>
      </c>
    </row>
    <row r="13">
      <c r="A13" s="37" t="inlineStr">
        <is>
          <t>Assignment</t>
        </is>
      </c>
      <c r="B13" s="402" t="inlineStr"/>
      <c r="C13" s="402" t="inlineStr"/>
      <c r="D13" s="402" t="inlineStr">
        <is>
          <t>2026-11-10</t>
        </is>
      </c>
      <c r="E13" s="402" t="inlineStr"/>
      <c r="F13" s="402" t="inlineStr"/>
      <c r="G13" s="39" t="inlineStr">
        <is>
          <t>Witchcraft Paper Due</t>
        </is>
      </c>
    </row>
    <row r="14">
      <c r="A14" s="33" t="inlineStr">
        <is>
          <t>Mid-term</t>
        </is>
      </c>
      <c r="B14" s="400" t="inlineStr">
        <is>
          <t>20%</t>
        </is>
      </c>
      <c r="C14" s="401" t="inlineStr"/>
      <c r="D14" s="401" t="inlineStr">
        <is>
          <t>2026-10-09</t>
        </is>
      </c>
      <c r="E14" s="401" t="inlineStr"/>
      <c r="F14" s="401" t="inlineStr">
        <is>
          <t>No</t>
        </is>
      </c>
      <c r="G14" s="36">
        <f>HYPERLINK("https://raw.githubusercontent.com/vengeanceaiUSC/Syllabus-/cursor/add-syllabus-dissector-skill-a676/output/documents/hist-103-mid-term.pdf","Open PDF")</f>
        <v/>
      </c>
    </row>
    <row r="15">
      <c r="A15" s="43" t="inlineStr">
        <is>
          <t>Exam</t>
        </is>
      </c>
      <c r="B15" s="402" t="inlineStr"/>
      <c r="C15" s="402" t="inlineStr"/>
      <c r="D15" s="402" t="inlineStr">
        <is>
          <t>2026-10-06</t>
        </is>
      </c>
      <c r="E15" s="402" t="inlineStr"/>
      <c r="F15" s="402" t="inlineStr"/>
      <c r="G15" s="39" t="inlineStr">
        <is>
          <t>Midterm Exam</t>
        </is>
      </c>
    </row>
    <row r="16">
      <c r="A16" s="40" t="inlineStr">
        <is>
          <t>Final Exam</t>
        </is>
      </c>
      <c r="B16" s="400" t="inlineStr">
        <is>
          <t>20%</t>
        </is>
      </c>
      <c r="C16" s="403" t="inlineStr"/>
      <c r="D16" s="403" t="inlineStr">
        <is>
          <t>2026-09-17</t>
        </is>
      </c>
      <c r="E16" s="403" t="inlineStr"/>
      <c r="F16" s="403" t="inlineStr">
        <is>
          <t>No</t>
        </is>
      </c>
      <c r="G16" s="42">
        <f>HYPERLINK("https://raw.githubusercontent.com/vengeanceaiUSC/Syllabus-/cursor/add-syllabus-dissector-skill-a676/output/documents/hist-103-final-exam.pdf","Open PDF")</f>
        <v/>
      </c>
    </row>
    <row r="17">
      <c r="A17" s="43" t="inlineStr">
        <is>
          <t>Exam</t>
        </is>
      </c>
      <c r="B17" s="402" t="inlineStr"/>
      <c r="C17" s="402" t="inlineStr"/>
      <c r="D17" s="402" t="inlineStr">
        <is>
          <t>2026-12-10</t>
        </is>
      </c>
      <c r="E17" s="402" t="inlineStr"/>
      <c r="F17" s="402" t="inlineStr"/>
      <c r="G17" s="39" t="inlineStr">
        <is>
          <t>Final Exam</t>
        </is>
      </c>
    </row>
    <row r="18">
      <c r="A18" s="33" t="inlineStr">
        <is>
          <t>Discussion Section</t>
        </is>
      </c>
      <c r="B18" s="400" t="inlineStr">
        <is>
          <t>15%</t>
        </is>
      </c>
      <c r="C18" s="401" t="inlineStr"/>
      <c r="D18" s="401" t="inlineStr">
        <is>
          <t>2026-11-12</t>
        </is>
      </c>
      <c r="E18" s="401" t="inlineStr"/>
      <c r="F18" s="401" t="inlineStr">
        <is>
          <t>Yes</t>
        </is>
      </c>
      <c r="G18" s="36">
        <f>HYPERLINK("https://raw.githubusercontent.com/vengeanceaiUSC/Syllabus-/cursor/add-syllabus-dissector-skill-a676/output/documents/hist-103-discussion-section.pdf","Open PDF")</f>
        <v/>
      </c>
    </row>
    <row r="19">
      <c r="A19" s="44" t="inlineStr">
        <is>
          <t>Reading</t>
        </is>
      </c>
      <c r="B19" s="402" t="inlineStr"/>
      <c r="C19" s="402" t="inlineStr">
        <is>
          <t>2026-08-25</t>
        </is>
      </c>
      <c r="D19" s="402" t="inlineStr">
        <is>
          <t>2026-08-29</t>
        </is>
      </c>
      <c r="E19" s="402" t="inlineStr"/>
      <c r="F19" s="402" t="inlineStr"/>
      <c r="G19" s="39" t="inlineStr">
        <is>
          <t>Week Aug 25-29: Intro &amp; Black Death</t>
        </is>
      </c>
    </row>
    <row r="20">
      <c r="A20" s="44" t="inlineStr">
        <is>
          <t>Reading</t>
        </is>
      </c>
      <c r="B20" s="402" t="inlineStr"/>
      <c r="C20" s="402" t="inlineStr">
        <is>
          <t>2026-08-25</t>
        </is>
      </c>
      <c r="D20" s="402" t="inlineStr">
        <is>
          <t>2026-08-29</t>
        </is>
      </c>
      <c r="E20" s="402" t="inlineStr"/>
      <c r="F20" s="402" t="inlineStr"/>
      <c r="G20" s="39" t="inlineStr">
        <is>
          <t>Week Aug 25-29: Intro &amp; Black Death - Section reading 1: Lizzie Wade, “From Black Death to fatal flu, past pandemics sho</t>
        </is>
      </c>
    </row>
    <row r="21">
      <c r="A21" s="44" t="inlineStr">
        <is>
          <t>Reading</t>
        </is>
      </c>
      <c r="B21" s="402" t="inlineStr"/>
      <c r="C21" s="402" t="inlineStr">
        <is>
          <t>2026-09-01</t>
        </is>
      </c>
      <c r="D21" s="402" t="inlineStr">
        <is>
          <t>2026-09-04</t>
        </is>
      </c>
      <c r="E21" s="402" t="inlineStr"/>
      <c r="F21" s="402" t="inlineStr"/>
      <c r="G21" s="39" t="inlineStr">
        <is>
          <t>Week Sep 1-4: Everyday Life</t>
        </is>
      </c>
    </row>
    <row r="22">
      <c r="A22" s="44" t="inlineStr">
        <is>
          <t>Reading</t>
        </is>
      </c>
      <c r="B22" s="402" t="inlineStr"/>
      <c r="C22" s="402" t="inlineStr">
        <is>
          <t>2026-09-01</t>
        </is>
      </c>
      <c r="D22" s="402" t="inlineStr">
        <is>
          <t>2026-09-04</t>
        </is>
      </c>
      <c r="E22" s="402" t="inlineStr"/>
      <c r="F22" s="402" t="inlineStr"/>
      <c r="G22" s="39" t="inlineStr">
        <is>
          <t>Week Sep 1-4: Everyday Life - Section reading 1: A Roger Ekirch, “Sleep we have lost: Pre-Industrial Slumber in the Brit</t>
        </is>
      </c>
    </row>
    <row r="23">
      <c r="A23" s="44" t="inlineStr">
        <is>
          <t>Reading</t>
        </is>
      </c>
      <c r="B23" s="402" t="inlineStr"/>
      <c r="C23" s="402" t="inlineStr">
        <is>
          <t>2026-09-08</t>
        </is>
      </c>
      <c r="D23" s="402" t="inlineStr">
        <is>
          <t>2026-09-11</t>
        </is>
      </c>
      <c r="E23" s="402" t="inlineStr"/>
      <c r="F23" s="402" t="inlineStr"/>
      <c r="G23" s="39" t="inlineStr">
        <is>
          <t>Week Sep 8-11: Renaissance</t>
        </is>
      </c>
    </row>
    <row r="24">
      <c r="A24" s="44" t="inlineStr">
        <is>
          <t>Reading</t>
        </is>
      </c>
      <c r="B24" s="402" t="inlineStr"/>
      <c r="C24" s="402" t="inlineStr">
        <is>
          <t>2026-09-08</t>
        </is>
      </c>
      <c r="D24" s="402" t="inlineStr">
        <is>
          <t>2026-09-11</t>
        </is>
      </c>
      <c r="E24" s="402" t="inlineStr"/>
      <c r="F24" s="402" t="inlineStr"/>
      <c r="G24" s="39" t="inlineStr">
        <is>
          <t>Week Sep 8-11: Renaissance - Section reading 1: Kay Daly, “Diverting the Flood of History: Ada Palmer’s Inventing the Re</t>
        </is>
      </c>
    </row>
    <row r="25">
      <c r="A25" s="44" t="inlineStr">
        <is>
          <t>Reading</t>
        </is>
      </c>
      <c r="B25" s="402" t="inlineStr"/>
      <c r="C25" s="402" t="inlineStr">
        <is>
          <t>2026-09-15</t>
        </is>
      </c>
      <c r="D25" s="402" t="inlineStr">
        <is>
          <t>2026-09-18</t>
        </is>
      </c>
      <c r="E25" s="402" t="inlineStr"/>
      <c r="F25" s="402" t="inlineStr"/>
      <c r="G25" s="39" t="inlineStr">
        <is>
          <t>Week Sep 15-18: Renaissance</t>
        </is>
      </c>
    </row>
    <row r="26">
      <c r="A26" s="44" t="inlineStr">
        <is>
          <t>Reading</t>
        </is>
      </c>
      <c r="B26" s="402" t="inlineStr"/>
      <c r="C26" s="402" t="inlineStr">
        <is>
          <t>2026-09-15</t>
        </is>
      </c>
      <c r="D26" s="402" t="inlineStr">
        <is>
          <t>2026-09-18</t>
        </is>
      </c>
      <c r="E26" s="402" t="inlineStr"/>
      <c r="F26" s="402" t="inlineStr"/>
      <c r="G26" s="39" t="inlineStr">
        <is>
          <t>Week Sep 15-18: Renaissance - Section reading 1: Vasari, Lives of the Artists: Leonardo da Vinci &amp; Properzia de’ Rossi V</t>
        </is>
      </c>
    </row>
    <row r="27">
      <c r="A27" s="44" t="inlineStr">
        <is>
          <t>Reading</t>
        </is>
      </c>
      <c r="B27" s="402" t="inlineStr"/>
      <c r="C27" s="402" t="inlineStr">
        <is>
          <t>2026-09-20</t>
        </is>
      </c>
      <c r="D27" s="402" t="inlineStr">
        <is>
          <t>2026-09-24</t>
        </is>
      </c>
      <c r="E27" s="402" t="inlineStr"/>
      <c r="F27" s="402" t="inlineStr"/>
      <c r="G27" s="39" t="inlineStr">
        <is>
          <t>Week Sep 20-24: European Expansion</t>
        </is>
      </c>
    </row>
    <row r="28">
      <c r="A28" s="44" t="inlineStr">
        <is>
          <t>Reading</t>
        </is>
      </c>
      <c r="B28" s="402" t="inlineStr"/>
      <c r="C28" s="402" t="inlineStr">
        <is>
          <t>2026-09-20</t>
        </is>
      </c>
      <c r="D28" s="402" t="inlineStr">
        <is>
          <t>2026-09-24</t>
        </is>
      </c>
      <c r="E28" s="402" t="inlineStr"/>
      <c r="F28" s="402" t="inlineStr"/>
      <c r="G28" s="39" t="inlineStr">
        <is>
          <t>Week Sep 20-24: European Expansion - Section reading 1: Jerry Brotton, The Renaissance Bazaar, Chap 1 (15 pgs) Read Colu</t>
        </is>
      </c>
    </row>
    <row r="29">
      <c r="A29" s="44" t="inlineStr">
        <is>
          <t>Reading</t>
        </is>
      </c>
      <c r="B29" s="402" t="inlineStr"/>
      <c r="C29" s="402" t="inlineStr">
        <is>
          <t>2026-09-20</t>
        </is>
      </c>
      <c r="D29" s="402" t="inlineStr">
        <is>
          <t>2026-09-24</t>
        </is>
      </c>
      <c r="E29" s="402" t="inlineStr"/>
      <c r="F29" s="402" t="inlineStr"/>
      <c r="G29" s="39" t="inlineStr">
        <is>
          <t>Week Sep 20-24: European Expansion - Section reading 2: Bernal Diaz del Castillo, The True History of the Conquest of Ne</t>
        </is>
      </c>
    </row>
    <row r="30">
      <c r="A30" s="44" t="inlineStr">
        <is>
          <t>Reading</t>
        </is>
      </c>
      <c r="B30" s="402" t="inlineStr"/>
      <c r="C30" s="402" t="inlineStr">
        <is>
          <t>2026-10-06</t>
        </is>
      </c>
      <c r="D30" s="402" t="inlineStr">
        <is>
          <t>2026-10-09</t>
        </is>
      </c>
      <c r="E30" s="402" t="inlineStr"/>
      <c r="F30" s="402" t="inlineStr"/>
      <c r="G30" s="39" t="inlineStr">
        <is>
          <t>Week Oct 6-9: Midterm &amp; Break</t>
        </is>
      </c>
    </row>
    <row r="31">
      <c r="A31" s="44" t="inlineStr">
        <is>
          <t>Reading</t>
        </is>
      </c>
      <c r="B31" s="402" t="inlineStr"/>
      <c r="C31" s="402" t="inlineStr">
        <is>
          <t>2026-10-13</t>
        </is>
      </c>
      <c r="D31" s="402" t="inlineStr">
        <is>
          <t>2026-10-16</t>
        </is>
      </c>
      <c r="E31" s="402" t="inlineStr"/>
      <c r="F31" s="402" t="inlineStr"/>
      <c r="G31" s="39" t="inlineStr">
        <is>
          <t>Week Oct 13-16: The Reformation</t>
        </is>
      </c>
    </row>
    <row r="32">
      <c r="A32" s="44" t="inlineStr">
        <is>
          <t>Reading</t>
        </is>
      </c>
      <c r="B32" s="402" t="inlineStr"/>
      <c r="C32" s="402" t="inlineStr">
        <is>
          <t>2026-10-20</t>
        </is>
      </c>
      <c r="D32" s="402" t="inlineStr">
        <is>
          <t>2026-10-23</t>
        </is>
      </c>
      <c r="E32" s="402" t="inlineStr"/>
      <c r="F32" s="402" t="inlineStr"/>
      <c r="G32" s="39" t="inlineStr">
        <is>
          <t>Week Oct 20-23: The Reformation</t>
        </is>
      </c>
    </row>
    <row r="33">
      <c r="A33" s="44" t="inlineStr">
        <is>
          <t>Reading</t>
        </is>
      </c>
      <c r="B33" s="402" t="inlineStr"/>
      <c r="C33" s="402" t="inlineStr">
        <is>
          <t>2026-10-27</t>
        </is>
      </c>
      <c r="D33" s="402" t="inlineStr">
        <is>
          <t>2026-10-30</t>
        </is>
      </c>
      <c r="E33" s="402" t="inlineStr"/>
      <c r="F33" s="402" t="inlineStr"/>
      <c r="G33" s="39" t="inlineStr">
        <is>
          <t>Week Oct 27-30: Reformation</t>
        </is>
      </c>
    </row>
    <row r="34">
      <c r="A34" s="44" t="inlineStr">
        <is>
          <t>Reading</t>
        </is>
      </c>
      <c r="B34" s="402" t="inlineStr"/>
      <c r="C34" s="402" t="inlineStr">
        <is>
          <t>2026-10-27</t>
        </is>
      </c>
      <c r="D34" s="402" t="inlineStr">
        <is>
          <t>2026-10-30</t>
        </is>
      </c>
      <c r="E34" s="402" t="inlineStr"/>
      <c r="F34" s="402" t="inlineStr"/>
      <c r="G34" s="39" t="inlineStr">
        <is>
          <t xml:space="preserve">Week Oct 27-30: Reformation - Section reading 1: Barbara Diefendorf, ed., The Saint Bartholomew’s Day Massacre: A Brief </t>
        </is>
      </c>
    </row>
    <row r="35">
      <c r="A35" s="44" t="inlineStr">
        <is>
          <t>Reading</t>
        </is>
      </c>
      <c r="B35" s="402" t="inlineStr"/>
      <c r="C35" s="402" t="inlineStr">
        <is>
          <t>2026-11-03</t>
        </is>
      </c>
      <c r="D35" s="402" t="inlineStr">
        <is>
          <t>2026-11-06</t>
        </is>
      </c>
      <c r="E35" s="402" t="inlineStr"/>
      <c r="F35" s="402" t="inlineStr"/>
      <c r="G35" s="39" t="inlineStr">
        <is>
          <t>Week Nov 3-6: Witches &amp; Science</t>
        </is>
      </c>
    </row>
    <row r="36">
      <c r="A36" s="44" t="inlineStr">
        <is>
          <t>Reading</t>
        </is>
      </c>
      <c r="B36" s="402" t="inlineStr"/>
      <c r="C36" s="402" t="inlineStr">
        <is>
          <t>2026-11-03</t>
        </is>
      </c>
      <c r="D36" s="402" t="inlineStr">
        <is>
          <t>2026-11-06</t>
        </is>
      </c>
      <c r="E36" s="402" t="inlineStr"/>
      <c r="F36" s="402" t="inlineStr"/>
      <c r="G36" s="39" t="inlineStr">
        <is>
          <t>Week Nov 3-6: Witches &amp; Science - Section reading 1: Brian Levack, The Witchcraft Sourcebook, Chaps 36-44, 46-47</t>
        </is>
      </c>
    </row>
    <row r="37">
      <c r="A37" s="44" t="inlineStr">
        <is>
          <t>Reading</t>
        </is>
      </c>
      <c r="B37" s="402" t="inlineStr"/>
      <c r="C37" s="402" t="inlineStr">
        <is>
          <t>2026-11-10</t>
        </is>
      </c>
      <c r="D37" s="402" t="inlineStr">
        <is>
          <t>2026-11-13</t>
        </is>
      </c>
      <c r="E37" s="402" t="inlineStr"/>
      <c r="F37" s="402" t="inlineStr"/>
      <c r="G37" s="39" t="inlineStr">
        <is>
          <t>Week Nov 10-13: Enlightenment</t>
        </is>
      </c>
    </row>
    <row r="38">
      <c r="A38" s="44" t="inlineStr">
        <is>
          <t>Reading</t>
        </is>
      </c>
      <c r="B38" s="402" t="inlineStr"/>
      <c r="C38" s="402" t="inlineStr">
        <is>
          <t>2026-11-10</t>
        </is>
      </c>
      <c r="D38" s="402" t="inlineStr">
        <is>
          <t>2026-11-13</t>
        </is>
      </c>
      <c r="E38" s="402" t="inlineStr"/>
      <c r="F38" s="402" t="inlineStr"/>
      <c r="G38" s="39" t="inlineStr">
        <is>
          <t>Week Nov 10-13: Enlightenment - Section reading 1: Excerpt: John Locke, Two Treatises of Government (1689) Excerpt: Rous</t>
        </is>
      </c>
    </row>
    <row r="39">
      <c r="A39" s="44" t="inlineStr">
        <is>
          <t>Reading</t>
        </is>
      </c>
      <c r="B39" s="402" t="inlineStr"/>
      <c r="C39" s="402" t="inlineStr">
        <is>
          <t>2026-11-17</t>
        </is>
      </c>
      <c r="D39" s="402" t="inlineStr">
        <is>
          <t>2026-11-20</t>
        </is>
      </c>
      <c r="E39" s="402" t="inlineStr"/>
      <c r="F39" s="402" t="inlineStr"/>
      <c r="G39" s="39" t="inlineStr">
        <is>
          <t>Week Nov 17-20: Enlightenment</t>
        </is>
      </c>
    </row>
    <row r="40">
      <c r="A40" s="44" t="inlineStr">
        <is>
          <t>Reading</t>
        </is>
      </c>
      <c r="B40" s="402" t="inlineStr"/>
      <c r="C40" s="402" t="inlineStr">
        <is>
          <t>2026-11-17</t>
        </is>
      </c>
      <c r="D40" s="402" t="inlineStr">
        <is>
          <t>2026-11-20</t>
        </is>
      </c>
      <c r="E40" s="402" t="inlineStr"/>
      <c r="F40" s="402" t="inlineStr"/>
      <c r="G40" s="39" t="inlineStr">
        <is>
          <t xml:space="preserve">Week Nov 17-20: Enlightenment - Section reading 1: Video: Africa &amp; Britain, A Forgotten History, Episode 2: Freedom (50 </t>
        </is>
      </c>
    </row>
    <row r="41">
      <c r="A41" s="44" t="inlineStr">
        <is>
          <t>Reading</t>
        </is>
      </c>
      <c r="B41" s="402" t="inlineStr"/>
      <c r="C41" s="402" t="inlineStr">
        <is>
          <t>2026-12-01</t>
        </is>
      </c>
      <c r="D41" s="402" t="inlineStr">
        <is>
          <t>2026-12-04</t>
        </is>
      </c>
      <c r="E41" s="402" t="inlineStr"/>
      <c r="F41" s="402" t="inlineStr"/>
      <c r="G41" s="39" t="inlineStr">
        <is>
          <t>Week Dec 1-4: Modern Europe?</t>
        </is>
      </c>
    </row>
    <row r="42">
      <c r="A42" s="40" t="inlineStr">
        <is>
          <t>Identification Quizzes</t>
        </is>
      </c>
      <c r="B42" s="400" t="inlineStr">
        <is>
          <t>5%</t>
        </is>
      </c>
      <c r="C42" s="403" t="inlineStr"/>
      <c r="D42" s="403" t="inlineStr">
        <is>
          <t>2026-12-10</t>
        </is>
      </c>
      <c r="E42" s="403" t="inlineStr"/>
      <c r="F42" s="403" t="inlineStr">
        <is>
          <t>No</t>
        </is>
      </c>
      <c r="G42" s="42">
        <f>HYPERLINK("https://raw.githubusercontent.com/vengeanceaiUSC/Syllabus-/cursor/add-syllabus-dissector-skill-a676/output/documents/hist-103-identification-quizzes.pdf","Open PDF")</f>
        <v/>
      </c>
    </row>
    <row r="43">
      <c r="A43" s="33" t="inlineStr">
        <is>
          <t>Extra Credit</t>
        </is>
      </c>
      <c r="B43" s="400" t="inlineStr">
        <is>
          <t>—</t>
        </is>
      </c>
      <c r="C43" s="401" t="inlineStr"/>
      <c r="D43" s="401" t="inlineStr">
        <is>
          <t>2026-12-04</t>
        </is>
      </c>
      <c r="E43" s="401" t="inlineStr"/>
      <c r="F43" s="401" t="inlineStr">
        <is>
          <t>No</t>
        </is>
      </c>
      <c r="G43" s="36">
        <f>HYPERLINK("https://raw.githubusercontent.com/vengeanceaiUSC/Syllabus-/cursor/add-syllabus-dissector-skill-a676/output/documents/hist-103-extra-credit.pdf","Open PDF")</f>
        <v/>
      </c>
    </row>
    <row r="44">
      <c r="A44" s="29" t="inlineStr">
        <is>
          <t>Total</t>
        </is>
      </c>
      <c r="B44" s="45" t="inlineStr">
        <is>
          <t>100%</t>
        </is>
      </c>
    </row>
  </sheetData>
  <mergeCells count="6">
    <mergeCell ref="B3:G3"/>
    <mergeCell ref="A1:G1"/>
    <mergeCell ref="B4:G4"/>
    <mergeCell ref="A2:G2"/>
    <mergeCell ref="A7:G7"/>
    <mergeCell ref="B6:G6"/>
  </mergeCells>
  <pageMargins left="0.75" right="0.75" top="1" bottom="1" header="0.5" footer="0.5"/>
</worksheet>
</file>

<file path=xl/worksheets/sheet8.xml><?xml version="1.0" encoding="utf-8"?>
<worksheet xmlns="http://schemas.openxmlformats.org/spreadsheetml/2006/main">
  <sheetPr>
    <tabColor rgb="008C564B"/>
    <outlinePr summaryBelow="1" summaryRight="1"/>
    <pageSetUpPr/>
  </sheetPr>
  <dimension ref="A1:G34"/>
  <sheetViews>
    <sheetView workbookViewId="0">
      <pane ySplit="9" topLeftCell="A10"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194" t="inlineStr">
        <is>
          <t>JS-310 — The Eastern European Jewish Experience through Literature and Film</t>
        </is>
      </c>
    </row>
    <row r="2" ht="40" customHeight="1">
      <c r="A2" s="28">
        <f>HYPERLINK("https://raw.githubusercontent.com/vengeanceaiUSC/Syllabus-/cursor/add-syllabus-dissector-skill-a676/output/sources/js-310-source.pdf","SEE HERE")</f>
        <v/>
      </c>
    </row>
    <row r="3">
      <c r="A3" s="29" t="inlineStr">
        <is>
          <t>Instructor</t>
        </is>
      </c>
      <c r="B3" t="inlineStr">
        <is>
          <t>Andrzej Brylak / Yulia Dubasova</t>
        </is>
      </c>
    </row>
    <row r="4">
      <c r="A4" s="29" t="inlineStr">
        <is>
          <t>Term</t>
        </is>
      </c>
      <c r="B4" t="inlineStr">
        <is>
          <t>Fall 2026</t>
        </is>
      </c>
    </row>
    <row r="5">
      <c r="A5" s="29" t="inlineStr">
        <is>
          <t>Required for an A</t>
        </is>
      </c>
      <c r="B5" s="30" t="inlineStr">
        <is>
          <t>90% (90-100)</t>
        </is>
      </c>
    </row>
    <row r="6">
      <c r="A6" s="29" t="inlineStr">
        <is>
          <t>Grading scale</t>
        </is>
      </c>
      <c r="B6" t="inlineStr">
        <is>
          <t>A – 90 – 100% B – 80 – 89% C – 70 – 79% D – 60 – 69% F – Below 60%</t>
        </is>
      </c>
    </row>
    <row r="7" ht="28" customHeight="1">
      <c r="A7" s="195" t="inlineStr">
        <is>
          <t>Weekly Quizzes 30%  |  Midterm Oral Exam 20%  |  Final Oral Exam 20%  |  Midterm Quiz 15%  |  Final Quiz 15%</t>
        </is>
      </c>
    </row>
    <row r="9">
      <c r="A9" s="196" t="inlineStr">
        <is>
          <t>Category</t>
        </is>
      </c>
      <c r="B9" s="196" t="inlineStr">
        <is>
          <t>Weight</t>
        </is>
      </c>
      <c r="C9" s="196" t="inlineStr">
        <is>
          <t>Start Date</t>
        </is>
      </c>
      <c r="D9" s="196" t="inlineStr">
        <is>
          <t>Due Date</t>
        </is>
      </c>
      <c r="E9" s="196" t="inlineStr">
        <is>
          <t>Status</t>
        </is>
      </c>
      <c r="F9" s="196" t="inlineStr">
        <is>
          <t>Group Project</t>
        </is>
      </c>
      <c r="G9" s="196" t="inlineStr">
        <is>
          <t>Details</t>
        </is>
      </c>
    </row>
    <row r="10">
      <c r="A10" s="197" t="inlineStr">
        <is>
          <t>Weekly Quizzes</t>
        </is>
      </c>
      <c r="B10" s="409" t="inlineStr">
        <is>
          <t>30%</t>
        </is>
      </c>
      <c r="C10" s="410" t="inlineStr"/>
      <c r="D10" s="410" t="inlineStr"/>
      <c r="E10" s="410" t="inlineStr"/>
      <c r="F10" s="410" t="inlineStr">
        <is>
          <t>No</t>
        </is>
      </c>
      <c r="G10" s="200">
        <f>HYPERLINK("https://raw.githubusercontent.com/vengeanceaiUSC/Syllabus-/cursor/add-syllabus-dissector-skill-a676/output/documents/js-310-weekly-quizzes.pdf","Open PDF")</f>
        <v/>
      </c>
    </row>
    <row r="11">
      <c r="A11" s="201" t="inlineStr">
        <is>
          <t>Homework</t>
        </is>
      </c>
      <c r="B11" s="411" t="inlineStr"/>
      <c r="C11" s="411" t="inlineStr"/>
      <c r="D11" s="411" t="inlineStr"/>
      <c r="E11" s="411" t="inlineStr"/>
      <c r="F11" s="411" t="inlineStr"/>
      <c r="G11" s="203" t="inlineStr">
        <is>
          <t>Week 1 — Eastern European Jewish Experience: Historical Introduction — (Text on Brightspace); Antony Polonsky, Jews in P</t>
        </is>
      </c>
    </row>
    <row r="12">
      <c r="A12" s="201" t="inlineStr">
        <is>
          <t>Homework</t>
        </is>
      </c>
      <c r="B12" s="411" t="inlineStr"/>
      <c r="C12" s="411" t="inlineStr"/>
      <c r="D12" s="411" t="inlineStr"/>
      <c r="E12" s="411" t="inlineStr"/>
      <c r="F12" s="411" t="inlineStr"/>
      <c r="G12" s="203" t="inlineStr">
        <is>
          <t>Week 10 — Irony in Holocaust Literature — Imre Kertesz, Fatelessness, pp. 99-189</t>
        </is>
      </c>
    </row>
    <row r="13">
      <c r="A13" s="201" t="inlineStr">
        <is>
          <t>Homework</t>
        </is>
      </c>
      <c r="B13" s="411" t="inlineStr"/>
      <c r="C13" s="411" t="inlineStr"/>
      <c r="D13" s="411" t="inlineStr"/>
      <c r="E13" s="411" t="inlineStr"/>
      <c r="F13" s="411" t="inlineStr"/>
      <c r="G13" s="203" t="inlineStr">
        <is>
          <t>Week 11 — Testimony as a Genre. Ethics and Poetics. — Imre Kertesz, Fatelessness, pp. 189- 262; Film: Everything is Illu</t>
        </is>
      </c>
    </row>
    <row r="14">
      <c r="A14" s="201" t="inlineStr">
        <is>
          <t>Homework</t>
        </is>
      </c>
      <c r="B14" s="411" t="inlineStr"/>
      <c r="C14" s="411" t="inlineStr"/>
      <c r="D14" s="411" t="inlineStr"/>
      <c r="E14" s="411" t="inlineStr"/>
      <c r="F14" s="411" t="inlineStr"/>
      <c r="G14" s="203" t="inlineStr">
        <is>
          <t>Week 12 — Jewish American Literature — Gary Shteyngart, Super Sad True Love Story, pp. 1- 98</t>
        </is>
      </c>
    </row>
    <row r="15">
      <c r="A15" s="201" t="inlineStr">
        <is>
          <t>Homework</t>
        </is>
      </c>
      <c r="B15" s="411" t="inlineStr"/>
      <c r="C15" s="411" t="inlineStr"/>
      <c r="D15" s="411" t="inlineStr"/>
      <c r="E15" s="411" t="inlineStr"/>
      <c r="F15" s="411" t="inlineStr"/>
      <c r="G15" s="203" t="inlineStr">
        <is>
          <t>Week 13 — Eastern European Influence on Contemporary Jewish Identity i — Gary Shteyngart, Super Sad True Love Story, pp.</t>
        </is>
      </c>
    </row>
    <row r="16">
      <c r="A16" s="201" t="inlineStr">
        <is>
          <t>Homework</t>
        </is>
      </c>
      <c r="B16" s="411" t="inlineStr"/>
      <c r="C16" s="411" t="inlineStr"/>
      <c r="D16" s="411" t="inlineStr"/>
      <c r="E16" s="411" t="inlineStr"/>
      <c r="F16" s="411" t="inlineStr"/>
      <c r="G16" s="203" t="inlineStr">
        <is>
          <t>Week 14 — Jewishness and Postmodernism — Gary Shteyngart, Super Sad True Love Story, pp. 203- 330</t>
        </is>
      </c>
    </row>
    <row r="17">
      <c r="A17" s="201" t="inlineStr">
        <is>
          <t>Homework</t>
        </is>
      </c>
      <c r="B17" s="411" t="inlineStr"/>
      <c r="C17" s="411" t="inlineStr"/>
      <c r="D17" s="411" t="inlineStr"/>
      <c r="E17" s="411" t="inlineStr"/>
      <c r="F17" s="411" t="inlineStr"/>
      <c r="G17" s="203" t="inlineStr">
        <is>
          <t>Week 14 — Jews and Money — Film: Uncut Gems, dir. Safdie Brothers</t>
        </is>
      </c>
    </row>
    <row r="18">
      <c r="A18" s="201" t="inlineStr">
        <is>
          <t>Homework</t>
        </is>
      </c>
      <c r="B18" s="411" t="inlineStr"/>
      <c r="C18" s="411" t="inlineStr"/>
      <c r="D18" s="411" t="inlineStr"/>
      <c r="E18" s="411" t="inlineStr"/>
      <c r="F18" s="411" t="inlineStr"/>
      <c r="G18" s="203" t="inlineStr">
        <is>
          <t>Week 2 — Small Town Jewish Life — Sholem Aleichem, Tevye the Dairyman and Motl the Cantor’s Son, pp. 1-1</t>
        </is>
      </c>
    </row>
    <row r="19">
      <c r="A19" s="201" t="inlineStr">
        <is>
          <t>Homework</t>
        </is>
      </c>
      <c r="B19" s="411" t="inlineStr"/>
      <c r="C19" s="411" t="inlineStr"/>
      <c r="D19" s="411" t="inlineStr"/>
      <c r="E19" s="411" t="inlineStr"/>
      <c r="F19" s="411" t="inlineStr"/>
      <c r="G19" s="203" t="inlineStr">
        <is>
          <t>Week 3 — Tradition vs Modernity — Sholem Aleichem, Tevye the Dairyman and Motl the Cantor’s Son, pp. 135</t>
        </is>
      </c>
    </row>
    <row r="20">
      <c r="A20" s="201" t="inlineStr">
        <is>
          <t>Homework</t>
        </is>
      </c>
      <c r="B20" s="411" t="inlineStr"/>
      <c r="C20" s="411" t="inlineStr"/>
      <c r="D20" s="411" t="inlineStr"/>
      <c r="E20" s="411" t="inlineStr"/>
      <c r="F20" s="411" t="inlineStr"/>
      <c r="G20" s="203" t="inlineStr">
        <is>
          <t>Week 4 — Jewish Emigration — Sholem Aleichem, Tevye the Dairyman and Motl the Cantor’s Son, pp. 235</t>
        </is>
      </c>
    </row>
    <row r="21">
      <c r="A21" s="201" t="inlineStr">
        <is>
          <t>Homework</t>
        </is>
      </c>
      <c r="B21" s="411" t="inlineStr"/>
      <c r="C21" s="411" t="inlineStr"/>
      <c r="D21" s="411" t="inlineStr"/>
      <c r="E21" s="411" t="inlineStr"/>
      <c r="F21" s="411" t="inlineStr"/>
      <c r="G21" s="203" t="inlineStr">
        <is>
          <t>Week 5 — Americanization — Sholem Aleichem, Tevye the Dairyman and Motl the Cantor’s Son, pp. 281</t>
        </is>
      </c>
    </row>
    <row r="22">
      <c r="A22" s="201" t="inlineStr">
        <is>
          <t>Homework</t>
        </is>
      </c>
      <c r="B22" s="411" t="inlineStr"/>
      <c r="C22" s="411" t="inlineStr"/>
      <c r="D22" s="411" t="inlineStr"/>
      <c r="E22" s="411" t="inlineStr"/>
      <c r="F22" s="411" t="inlineStr"/>
      <c r="G22" s="203" t="inlineStr">
        <is>
          <t>Week 6 — Jewish Criminal Underground — Issac Babel, Odessa Stories, pp. 1-103</t>
        </is>
      </c>
    </row>
    <row r="23">
      <c r="A23" s="201" t="inlineStr">
        <is>
          <t>Homework</t>
        </is>
      </c>
      <c r="B23" s="411" t="inlineStr"/>
      <c r="C23" s="411" t="inlineStr"/>
      <c r="D23" s="411" t="inlineStr"/>
      <c r="E23" s="411" t="inlineStr"/>
      <c r="F23" s="411" t="inlineStr"/>
      <c r="G23" s="203" t="inlineStr">
        <is>
          <t>Week 7 — Jewish Childhood — Isaac Babel, Odessa Stories, pp. 103-175</t>
        </is>
      </c>
    </row>
    <row r="24">
      <c r="A24" s="201" t="inlineStr">
        <is>
          <t>Homework</t>
        </is>
      </c>
      <c r="B24" s="411" t="inlineStr"/>
      <c r="C24" s="411" t="inlineStr"/>
      <c r="D24" s="411" t="inlineStr"/>
      <c r="E24" s="411" t="inlineStr"/>
      <c r="F24" s="411" t="inlineStr"/>
      <c r="G24" s="203" t="inlineStr">
        <is>
          <t>Week 8 — Holocaust and the Problem of Its Representation — Film: Unzere Kinder, dir. Natan Gross.</t>
        </is>
      </c>
    </row>
    <row r="25">
      <c r="A25" s="201" t="inlineStr">
        <is>
          <t>Homework</t>
        </is>
      </c>
      <c r="B25" s="411" t="inlineStr"/>
      <c r="C25" s="411" t="inlineStr"/>
      <c r="D25" s="411" t="inlineStr"/>
      <c r="E25" s="411" t="inlineStr"/>
      <c r="F25" s="411" t="inlineStr"/>
      <c r="G25" s="203" t="inlineStr">
        <is>
          <t>Week 9 — Holocaust Literature: Characteristics — Imre Kertesz, Fatelessness, pp. 1-99</t>
        </is>
      </c>
    </row>
    <row r="26">
      <c r="A26" s="204" t="inlineStr">
        <is>
          <t>Midterm Oral Exam</t>
        </is>
      </c>
      <c r="B26" s="409" t="inlineStr">
        <is>
          <t>20%</t>
        </is>
      </c>
      <c r="C26" s="412" t="inlineStr"/>
      <c r="D26" s="412" t="inlineStr"/>
      <c r="E26" s="412" t="inlineStr"/>
      <c r="F26" s="412" t="inlineStr">
        <is>
          <t>No</t>
        </is>
      </c>
      <c r="G26" s="206">
        <f>HYPERLINK("https://raw.githubusercontent.com/vengeanceaiUSC/Syllabus-/cursor/add-syllabus-dissector-skill-a676/output/documents/js-310-midterm-oral-exam.pdf","Open PDF")</f>
        <v/>
      </c>
    </row>
    <row r="27">
      <c r="A27" s="207" t="inlineStr">
        <is>
          <t>Assignment</t>
        </is>
      </c>
      <c r="B27" s="411" t="inlineStr"/>
      <c r="C27" s="411" t="inlineStr"/>
      <c r="D27" s="411" t="inlineStr"/>
      <c r="E27" s="411" t="inlineStr"/>
      <c r="F27" s="411" t="inlineStr"/>
      <c r="G27" s="203" t="inlineStr">
        <is>
          <t>Midterm Oral Exam — instructional week 8 (15-min quote presentation, 60 pts max)</t>
        </is>
      </c>
    </row>
    <row r="28">
      <c r="A28" s="197" t="inlineStr">
        <is>
          <t>Final Oral Exam</t>
        </is>
      </c>
      <c r="B28" s="409" t="inlineStr">
        <is>
          <t>20%</t>
        </is>
      </c>
      <c r="C28" s="410" t="inlineStr"/>
      <c r="D28" s="410" t="inlineStr"/>
      <c r="E28" s="410" t="inlineStr"/>
      <c r="F28" s="410" t="inlineStr">
        <is>
          <t>No</t>
        </is>
      </c>
      <c r="G28" s="200">
        <f>HYPERLINK("https://raw.githubusercontent.com/vengeanceaiUSC/Syllabus-/cursor/add-syllabus-dissector-skill-a676/output/documents/js-310-final-oral-exam.pdf","Open PDF")</f>
        <v/>
      </c>
    </row>
    <row r="29">
      <c r="A29" s="207" t="inlineStr">
        <is>
          <t>Assignment</t>
        </is>
      </c>
      <c r="B29" s="411" t="inlineStr"/>
      <c r="C29" s="411" t="inlineStr"/>
      <c r="D29" s="411" t="inlineStr"/>
      <c r="E29" s="411" t="inlineStr"/>
      <c r="F29" s="411" t="inlineStr"/>
      <c r="G29" s="203" t="inlineStr">
        <is>
          <t>Final Oral Exam — last instructional week (15-min presentation on Love/Tradition/Jewishness/Violence/Humor across 3 read</t>
        </is>
      </c>
    </row>
    <row r="30">
      <c r="A30" s="204" t="inlineStr">
        <is>
          <t>Midterm Quiz</t>
        </is>
      </c>
      <c r="B30" s="409" t="inlineStr">
        <is>
          <t>15%</t>
        </is>
      </c>
      <c r="C30" s="412" t="inlineStr"/>
      <c r="D30" s="412" t="inlineStr"/>
      <c r="E30" s="412" t="inlineStr"/>
      <c r="F30" s="412" t="inlineStr">
        <is>
          <t>No</t>
        </is>
      </c>
      <c r="G30" s="206">
        <f>HYPERLINK("https://raw.githubusercontent.com/vengeanceaiUSC/Syllabus-/cursor/add-syllabus-dissector-skill-a676/output/documents/js-310-midterm-quiz.pdf","Open PDF")</f>
        <v/>
      </c>
    </row>
    <row r="31">
      <c r="A31" s="208" t="inlineStr">
        <is>
          <t>Exam</t>
        </is>
      </c>
      <c r="B31" s="411" t="inlineStr"/>
      <c r="C31" s="411" t="inlineStr"/>
      <c r="D31" s="411" t="inlineStr"/>
      <c r="E31" s="411" t="inlineStr"/>
      <c r="F31" s="411" t="inlineStr"/>
      <c r="G31" s="203" t="inlineStr">
        <is>
          <t>Midterm Quiz — Thursday, instructional week 7 (20 questions, closed-ended)</t>
        </is>
      </c>
    </row>
    <row r="32">
      <c r="A32" s="197" t="inlineStr">
        <is>
          <t>Final Quiz</t>
        </is>
      </c>
      <c r="B32" s="409" t="inlineStr">
        <is>
          <t>15%</t>
        </is>
      </c>
      <c r="C32" s="410" t="inlineStr"/>
      <c r="D32" s="410" t="inlineStr"/>
      <c r="E32" s="410" t="inlineStr"/>
      <c r="F32" s="410" t="inlineStr">
        <is>
          <t>No</t>
        </is>
      </c>
      <c r="G32" s="200">
        <f>HYPERLINK("https://raw.githubusercontent.com/vengeanceaiUSC/Syllabus-/cursor/add-syllabus-dissector-skill-a676/output/documents/js-310-final-quiz.pdf","Open PDF")</f>
        <v/>
      </c>
    </row>
    <row r="33">
      <c r="A33" s="208" t="inlineStr">
        <is>
          <t>Exam</t>
        </is>
      </c>
      <c r="B33" s="411" t="inlineStr"/>
      <c r="C33" s="411" t="inlineStr"/>
      <c r="D33" s="411" t="inlineStr"/>
      <c r="E33" s="411" t="inlineStr"/>
      <c r="F33" s="411" t="inlineStr"/>
      <c r="G33" s="203" t="inlineStr">
        <is>
          <t>Final Quiz — same format as midterm, second half of semester</t>
        </is>
      </c>
    </row>
    <row r="34">
      <c r="A34" s="29" t="inlineStr">
        <is>
          <t>Total</t>
        </is>
      </c>
      <c r="B34" s="209" t="inlineStr">
        <is>
          <t>100%</t>
        </is>
      </c>
    </row>
  </sheetData>
  <mergeCells count="6">
    <mergeCell ref="B3:G3"/>
    <mergeCell ref="A1:G1"/>
    <mergeCell ref="B4:G4"/>
    <mergeCell ref="A2:G2"/>
    <mergeCell ref="A7:G7"/>
    <mergeCell ref="B6:G6"/>
  </mergeCells>
  <pageMargins left="0.75" right="0.75" top="1" bottom="1" header="0.5" footer="0.5"/>
</worksheet>
</file>

<file path=xl/worksheets/sheet9.xml><?xml version="1.0" encoding="utf-8"?>
<worksheet xmlns="http://schemas.openxmlformats.org/spreadsheetml/2006/main">
  <sheetPr>
    <tabColor rgb="002CA02C"/>
    <outlinePr summaryBelow="1" summaryRight="1"/>
    <pageSetUpPr/>
  </sheetPr>
  <dimension ref="A1:G61"/>
  <sheetViews>
    <sheetView workbookViewId="0">
      <pane ySplit="9" topLeftCell="A10"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162" t="inlineStr">
        <is>
          <t>SPAN-290 — Introduction to Latin American and Iberian Studies</t>
        </is>
      </c>
    </row>
    <row r="2" ht="40" customHeight="1">
      <c r="A2" s="28">
        <f>HYPERLINK("https://raw.githubusercontent.com/vengeanceaiUSC/Syllabus-/cursor/add-syllabus-dissector-skill-a676/output/sources/span-290-source.pdf","SEE HERE")</f>
        <v/>
      </c>
    </row>
    <row r="3">
      <c r="A3" s="29" t="inlineStr">
        <is>
          <t>Instructor</t>
        </is>
      </c>
      <c r="B3" t="inlineStr">
        <is>
          <t>Samuel Steinberg</t>
        </is>
      </c>
    </row>
    <row r="4">
      <c r="A4" s="29" t="inlineStr">
        <is>
          <t>Term</t>
        </is>
      </c>
      <c r="B4" t="inlineStr">
        <is>
          <t>Fall 2026</t>
        </is>
      </c>
    </row>
    <row r="5">
      <c r="A5" s="29" t="inlineStr">
        <is>
          <t>Required for an A</t>
        </is>
      </c>
      <c r="B5" s="30" t="inlineStr">
        <is>
          <t>95% (95-100)</t>
        </is>
      </c>
    </row>
    <row r="6">
      <c r="A6" s="29" t="inlineStr">
        <is>
          <t>Grading scale</t>
        </is>
      </c>
      <c r="B6" t="inlineStr">
        <is>
          <t>A 95-100 A- 90-94 B+ 87-89 B 83-86 B- 80-82 C+ 77-79 C 73-76 C- 70-72 D+ 67-69 D 63-66 D- 60-62 F 59 and below</t>
        </is>
      </c>
    </row>
    <row r="7" ht="28" customHeight="1">
      <c r="A7" s="163" t="inlineStr">
        <is>
          <t>Reading Notes 100 pts  |  Essay 1 100 pts  |  Essay 2 100 pts  |  Midterm Exam 100 pts  |  Final Exam 100 pts</t>
        </is>
      </c>
    </row>
    <row r="9">
      <c r="A9" s="164" t="inlineStr">
        <is>
          <t>Category</t>
        </is>
      </c>
      <c r="B9" s="164" t="inlineStr">
        <is>
          <t>Weight</t>
        </is>
      </c>
      <c r="C9" s="164" t="inlineStr">
        <is>
          <t>Start Date</t>
        </is>
      </c>
      <c r="D9" s="164" t="inlineStr">
        <is>
          <t>Due Date</t>
        </is>
      </c>
      <c r="E9" s="164" t="inlineStr">
        <is>
          <t>Status</t>
        </is>
      </c>
      <c r="F9" s="164" t="inlineStr">
        <is>
          <t>Group Project</t>
        </is>
      </c>
      <c r="G9" s="164" t="inlineStr">
        <is>
          <t>Details</t>
        </is>
      </c>
    </row>
    <row r="10">
      <c r="A10" s="165" t="inlineStr">
        <is>
          <t>Reading Notes</t>
        </is>
      </c>
      <c r="B10" s="418" t="inlineStr">
        <is>
          <t>100 pts</t>
        </is>
      </c>
      <c r="C10" s="419" t="inlineStr"/>
      <c r="D10" s="419" t="inlineStr"/>
      <c r="E10" s="419" t="inlineStr"/>
      <c r="F10" s="419" t="inlineStr">
        <is>
          <t>No</t>
        </is>
      </c>
      <c r="G10" s="168">
        <f>HYPERLINK("https://raw.githubusercontent.com/vengeanceaiUSC/Syllabus-/cursor/add-syllabus-dissector-skill-a676/output/documents/span-290-reading-notes.pdf","Open PDF")</f>
        <v/>
      </c>
    </row>
    <row r="11">
      <c r="A11" s="169" t="inlineStr">
        <is>
          <t>Reading</t>
        </is>
      </c>
      <c r="B11" s="420" t="inlineStr"/>
      <c r="C11" s="420" t="inlineStr"/>
      <c r="D11" s="420" t="inlineStr">
        <is>
          <t>2026-08-25</t>
        </is>
      </c>
      <c r="E11" s="420" t="inlineStr"/>
      <c r="F11" s="420" t="inlineStr"/>
      <c r="G11" s="171" t="inlineStr">
        <is>
          <t>08-25 — Introduction to Course</t>
        </is>
      </c>
    </row>
    <row r="12">
      <c r="A12" s="169" t="inlineStr">
        <is>
          <t>Reading</t>
        </is>
      </c>
      <c r="B12" s="420" t="inlineStr"/>
      <c r="C12" s="420" t="inlineStr"/>
      <c r="D12" s="420" t="inlineStr">
        <is>
          <t>2026-08-27</t>
        </is>
      </c>
      <c r="E12" s="420" t="inlineStr"/>
      <c r="F12" s="420" t="inlineStr"/>
      <c r="G12" s="171" t="inlineStr">
        <is>
          <t>08-27 — New Worlds — Christopher Columbus, “Digest of Columbus’s Log-Book on his First Voyage Made by Bartolomé</t>
        </is>
      </c>
    </row>
    <row r="13">
      <c r="A13" s="169" t="inlineStr">
        <is>
          <t>Reading</t>
        </is>
      </c>
      <c r="B13" s="420" t="inlineStr"/>
      <c r="C13" s="420" t="inlineStr"/>
      <c r="D13" s="420" t="inlineStr">
        <is>
          <t>2026-08-27</t>
        </is>
      </c>
      <c r="E13" s="420" t="inlineStr"/>
      <c r="F13" s="420" t="inlineStr"/>
      <c r="G13" s="171" t="inlineStr">
        <is>
          <t>08-27 — New Worlds — El requerimiento</t>
        </is>
      </c>
    </row>
    <row r="14">
      <c r="A14" s="169" t="inlineStr">
        <is>
          <t>Reading</t>
        </is>
      </c>
      <c r="B14" s="420" t="inlineStr"/>
      <c r="C14" s="420" t="inlineStr"/>
      <c r="D14" s="420" t="inlineStr">
        <is>
          <t>2026-09-01</t>
        </is>
      </c>
      <c r="E14" s="420" t="inlineStr"/>
      <c r="F14" s="420" t="inlineStr"/>
      <c r="G14" s="171" t="inlineStr">
        <is>
          <t>09-01 — New Worlds — Hernán Cortés, Second Letter</t>
        </is>
      </c>
    </row>
    <row r="15">
      <c r="A15" s="169" t="inlineStr">
        <is>
          <t>Reading</t>
        </is>
      </c>
      <c r="B15" s="420" t="inlineStr"/>
      <c r="C15" s="420" t="inlineStr"/>
      <c r="D15" s="420" t="inlineStr">
        <is>
          <t>2026-09-01</t>
        </is>
      </c>
      <c r="E15" s="420" t="inlineStr"/>
      <c r="F15" s="420" t="inlineStr"/>
      <c r="G15" s="171" t="inlineStr">
        <is>
          <t>09-01 — New Worlds — Octavio Paz, “The Sons of La Malinche”</t>
        </is>
      </c>
    </row>
    <row r="16">
      <c r="A16" s="169" t="inlineStr">
        <is>
          <t>Reading</t>
        </is>
      </c>
      <c r="B16" s="420" t="inlineStr"/>
      <c r="C16" s="420" t="inlineStr"/>
      <c r="D16" s="420" t="inlineStr">
        <is>
          <t>2026-09-03</t>
        </is>
      </c>
      <c r="E16" s="420" t="inlineStr"/>
      <c r="F16" s="420" t="inlineStr"/>
      <c r="G16" s="171" t="inlineStr">
        <is>
          <t>09-03 — Al-Andalus — Borges, “Averroes's Search”</t>
        </is>
      </c>
    </row>
    <row r="17">
      <c r="A17" s="169" t="inlineStr">
        <is>
          <t>Reading</t>
        </is>
      </c>
      <c r="B17" s="420" t="inlineStr"/>
      <c r="C17" s="420" t="inlineStr"/>
      <c r="D17" s="420" t="inlineStr">
        <is>
          <t>2026-09-03</t>
        </is>
      </c>
      <c r="E17" s="420" t="inlineStr"/>
      <c r="F17" s="420" t="inlineStr"/>
      <c r="G17" s="171" t="inlineStr">
        <is>
          <t>09-03 — Al-Andalus — María Rosa Menocal, The Ornament of the World (selections)</t>
        </is>
      </c>
    </row>
    <row r="18">
      <c r="A18" s="169" t="inlineStr">
        <is>
          <t>Reading</t>
        </is>
      </c>
      <c r="B18" s="420" t="inlineStr"/>
      <c r="C18" s="420" t="inlineStr"/>
      <c r="D18" s="420" t="inlineStr">
        <is>
          <t>2026-09-03</t>
        </is>
      </c>
      <c r="E18" s="420" t="inlineStr"/>
      <c r="F18" s="420" t="inlineStr"/>
      <c r="G18" s="171" t="inlineStr">
        <is>
          <t>09-03 — Al-Andalus — The Edict of Expulsion</t>
        </is>
      </c>
    </row>
    <row r="19">
      <c r="A19" s="169" t="inlineStr">
        <is>
          <t>Reading</t>
        </is>
      </c>
      <c r="B19" s="420" t="inlineStr"/>
      <c r="C19" s="420" t="inlineStr"/>
      <c r="D19" s="420" t="inlineStr">
        <is>
          <t>2026-09-08</t>
        </is>
      </c>
      <c r="E19" s="420" t="inlineStr"/>
      <c r="F19" s="420" t="inlineStr"/>
      <c r="G19" s="171" t="inlineStr">
        <is>
          <t>09-08 — Al-Andalus — Antonio de Villegas, The Abencerraje</t>
        </is>
      </c>
    </row>
    <row r="20">
      <c r="A20" s="169" t="inlineStr">
        <is>
          <t>Reading</t>
        </is>
      </c>
      <c r="B20" s="420" t="inlineStr"/>
      <c r="C20" s="420" t="inlineStr"/>
      <c r="D20" s="420" t="inlineStr">
        <is>
          <t>2026-09-10</t>
        </is>
      </c>
      <c r="E20" s="420" t="inlineStr"/>
      <c r="F20" s="420" t="inlineStr"/>
      <c r="G20" s="171" t="inlineStr">
        <is>
          <t>09-10 — Siglo de oro — Lazarillo de Tormes</t>
        </is>
      </c>
    </row>
    <row r="21">
      <c r="A21" s="169" t="inlineStr">
        <is>
          <t>Reading</t>
        </is>
      </c>
      <c r="B21" s="420" t="inlineStr"/>
      <c r="C21" s="420" t="inlineStr"/>
      <c r="D21" s="420" t="inlineStr">
        <is>
          <t>2026-09-15</t>
        </is>
      </c>
      <c r="E21" s="420" t="inlineStr"/>
      <c r="F21" s="420" t="inlineStr"/>
      <c r="G21" s="171" t="inlineStr">
        <is>
          <t>09-15 — Siglo de oro — Borges, “Pierre Menard”</t>
        </is>
      </c>
    </row>
    <row r="22">
      <c r="A22" s="169" t="inlineStr">
        <is>
          <t>Reading</t>
        </is>
      </c>
      <c r="B22" s="420" t="inlineStr"/>
      <c r="C22" s="420" t="inlineStr"/>
      <c r="D22" s="420" t="inlineStr">
        <is>
          <t>2026-09-15</t>
        </is>
      </c>
      <c r="E22" s="420" t="inlineStr"/>
      <c r="F22" s="420" t="inlineStr"/>
      <c r="G22" s="171" t="inlineStr">
        <is>
          <t>09-15 — Siglo de oro — Cervantes, Don Quixote (selections)</t>
        </is>
      </c>
    </row>
    <row r="23">
      <c r="A23" s="169" t="inlineStr">
        <is>
          <t>Reading</t>
        </is>
      </c>
      <c r="B23" s="420" t="inlineStr"/>
      <c r="C23" s="420" t="inlineStr"/>
      <c r="D23" s="420" t="inlineStr">
        <is>
          <t>2026-09-17</t>
        </is>
      </c>
      <c r="E23" s="420" t="inlineStr"/>
      <c r="F23" s="420" t="inlineStr"/>
      <c r="G23" s="171" t="inlineStr">
        <is>
          <t>09-17 — Race and Gender in Colonial Spanish America — Manuel Fernández de la Cruz, “A Letter from Sor Filotea to Sor Jua</t>
        </is>
      </c>
    </row>
    <row r="24">
      <c r="A24" s="169" t="inlineStr">
        <is>
          <t>Reading</t>
        </is>
      </c>
      <c r="B24" s="420" t="inlineStr"/>
      <c r="C24" s="420" t="inlineStr"/>
      <c r="D24" s="420" t="inlineStr">
        <is>
          <t>2026-09-17</t>
        </is>
      </c>
      <c r="E24" s="420" t="inlineStr"/>
      <c r="F24" s="420" t="inlineStr"/>
      <c r="G24" s="171" t="inlineStr">
        <is>
          <t>09-17 — Race and Gender in Colonial Spanish America — Sor Juana Inés de la Cruz, “Ballad 2” and “Redondilla 92”</t>
        </is>
      </c>
    </row>
    <row r="25">
      <c r="A25" s="169" t="inlineStr">
        <is>
          <t>Reading</t>
        </is>
      </c>
      <c r="B25" s="420" t="inlineStr"/>
      <c r="C25" s="420" t="inlineStr"/>
      <c r="D25" s="420" t="inlineStr">
        <is>
          <t>2026-09-22</t>
        </is>
      </c>
      <c r="E25" s="420" t="inlineStr"/>
      <c r="F25" s="420" t="inlineStr"/>
      <c r="G25" s="171" t="inlineStr">
        <is>
          <t>09-22 — Race and Gender in Colonial Spanish America — Ilona Katzew, Casta Painting: Images of Race in Eighteenth-Century</t>
        </is>
      </c>
    </row>
    <row r="26">
      <c r="A26" s="169" t="inlineStr">
        <is>
          <t>Reading</t>
        </is>
      </c>
      <c r="B26" s="420" t="inlineStr"/>
      <c r="C26" s="420" t="inlineStr"/>
      <c r="D26" s="420" t="inlineStr">
        <is>
          <t>2026-09-22</t>
        </is>
      </c>
      <c r="E26" s="420" t="inlineStr"/>
      <c r="F26" s="420" t="inlineStr"/>
      <c r="G26" s="171" t="inlineStr">
        <is>
          <t>09-22 — Race and Gender in Colonial Spanish America — Miguel Cabrera, Paintings</t>
        </is>
      </c>
    </row>
    <row r="27">
      <c r="A27" s="169" t="inlineStr">
        <is>
          <t>Reading</t>
        </is>
      </c>
      <c r="B27" s="420" t="inlineStr"/>
      <c r="C27" s="420" t="inlineStr"/>
      <c r="D27" s="420" t="inlineStr">
        <is>
          <t>2026-09-22</t>
        </is>
      </c>
      <c r="E27" s="420" t="inlineStr"/>
      <c r="F27" s="420" t="inlineStr"/>
      <c r="G27" s="171" t="inlineStr">
        <is>
          <t>09-22 — The Wars of Independence — Francisco Goya, Los desastres de la Guerra (images)</t>
        </is>
      </c>
    </row>
    <row r="28">
      <c r="A28" s="169" t="inlineStr">
        <is>
          <t>Reading</t>
        </is>
      </c>
      <c r="B28" s="420" t="inlineStr"/>
      <c r="C28" s="420" t="inlineStr"/>
      <c r="D28" s="420" t="inlineStr">
        <is>
          <t>2026-09-24</t>
        </is>
      </c>
      <c r="E28" s="420" t="inlineStr"/>
      <c r="F28" s="420" t="inlineStr"/>
      <c r="G28" s="171" t="inlineStr">
        <is>
          <t>09-24 — The Wars of Independence — Andrés Bello, “Address Delivered at the Inauguration of the University of Chile”</t>
        </is>
      </c>
    </row>
    <row r="29">
      <c r="A29" s="169" t="inlineStr">
        <is>
          <t>Reading</t>
        </is>
      </c>
      <c r="B29" s="420" t="inlineStr"/>
      <c r="C29" s="420" t="inlineStr"/>
      <c r="D29" s="420" t="inlineStr">
        <is>
          <t>2026-09-24</t>
        </is>
      </c>
      <c r="E29" s="420" t="inlineStr"/>
      <c r="F29" s="420" t="inlineStr"/>
      <c r="G29" s="171" t="inlineStr">
        <is>
          <t>09-24 — The Wars of Independence — Simón Bolívar, “Letter from Jamaica”</t>
        </is>
      </c>
    </row>
    <row r="30">
      <c r="A30" s="169" t="inlineStr">
        <is>
          <t>Reading</t>
        </is>
      </c>
      <c r="B30" s="420" t="inlineStr"/>
      <c r="C30" s="420" t="inlineStr"/>
      <c r="D30" s="420" t="inlineStr">
        <is>
          <t>2026-09-29</t>
        </is>
      </c>
      <c r="E30" s="420" t="inlineStr"/>
      <c r="F30" s="420" t="inlineStr"/>
      <c r="G30" s="171" t="inlineStr">
        <is>
          <t>09-29 — The Wars of Independence — Midterm Review</t>
        </is>
      </c>
    </row>
    <row r="31">
      <c r="A31" s="169" t="inlineStr">
        <is>
          <t>Reading</t>
        </is>
      </c>
      <c r="B31" s="420" t="inlineStr"/>
      <c r="C31" s="420" t="inlineStr"/>
      <c r="D31" s="420" t="inlineStr">
        <is>
          <t>2026-10-06</t>
        </is>
      </c>
      <c r="E31" s="420" t="inlineStr"/>
      <c r="F31" s="420" t="inlineStr"/>
      <c r="G31" s="171" t="inlineStr">
        <is>
          <t>10-06 — The Birth of Postcolonial America — Domingo de Sarmiento, Selections from Civilization or Barbarism</t>
        </is>
      </c>
    </row>
    <row r="32">
      <c r="A32" s="169" t="inlineStr">
        <is>
          <t>Reading</t>
        </is>
      </c>
      <c r="B32" s="420" t="inlineStr"/>
      <c r="C32" s="420" t="inlineStr"/>
      <c r="D32" s="420" t="inlineStr">
        <is>
          <t>2026-10-13</t>
        </is>
      </c>
      <c r="E32" s="420" t="inlineStr"/>
      <c r="F32" s="420" t="inlineStr"/>
      <c r="G32" s="171" t="inlineStr">
        <is>
          <t>10-13 — The Birth of Postcolonial America — Borges, “Story of the Warrior and the Captive”</t>
        </is>
      </c>
    </row>
    <row r="33">
      <c r="A33" s="169" t="inlineStr">
        <is>
          <t>Reading</t>
        </is>
      </c>
      <c r="B33" s="420" t="inlineStr"/>
      <c r="C33" s="420" t="inlineStr"/>
      <c r="D33" s="420" t="inlineStr">
        <is>
          <t>2026-10-13</t>
        </is>
      </c>
      <c r="E33" s="420" t="inlineStr"/>
      <c r="F33" s="420" t="inlineStr"/>
      <c r="G33" s="171" t="inlineStr">
        <is>
          <t>10-13 — The Birth of Postcolonial America — Lucio V. Mansilla, A Visit to the Ranquel Indians (selections)</t>
        </is>
      </c>
    </row>
    <row r="34">
      <c r="A34" s="169" t="inlineStr">
        <is>
          <t>Reading</t>
        </is>
      </c>
      <c r="B34" s="420" t="inlineStr"/>
      <c r="C34" s="420" t="inlineStr"/>
      <c r="D34" s="420" t="inlineStr">
        <is>
          <t>2026-10-15</t>
        </is>
      </c>
      <c r="E34" s="420" t="inlineStr"/>
      <c r="F34" s="420" t="inlineStr"/>
      <c r="G34" s="171" t="inlineStr">
        <is>
          <t>10-15 — Our America</t>
        </is>
      </c>
    </row>
    <row r="35">
      <c r="A35" s="169" t="inlineStr">
        <is>
          <t>Reading</t>
        </is>
      </c>
      <c r="B35" s="420" t="inlineStr"/>
      <c r="C35" s="420" t="inlineStr"/>
      <c r="D35" s="420" t="inlineStr">
        <is>
          <t>2026-10-15</t>
        </is>
      </c>
      <c r="E35" s="420" t="inlineStr"/>
      <c r="F35" s="420" t="inlineStr"/>
      <c r="G35" s="171" t="inlineStr">
        <is>
          <t>10-15 — Our America — José Martí, “Our América”</t>
        </is>
      </c>
    </row>
    <row r="36">
      <c r="A36" s="169" t="inlineStr">
        <is>
          <t>Reading</t>
        </is>
      </c>
      <c r="B36" s="420" t="inlineStr"/>
      <c r="C36" s="420" t="inlineStr"/>
      <c r="D36" s="420" t="inlineStr">
        <is>
          <t>2026-10-15</t>
        </is>
      </c>
      <c r="E36" s="420" t="inlineStr"/>
      <c r="F36" s="420" t="inlineStr"/>
      <c r="G36" s="171" t="inlineStr">
        <is>
          <t>10-15 — Our America — Rubén Darío, “To Roosevelt”</t>
        </is>
      </c>
    </row>
    <row r="37">
      <c r="A37" s="169" t="inlineStr">
        <is>
          <t>Reading</t>
        </is>
      </c>
      <c r="B37" s="420" t="inlineStr"/>
      <c r="C37" s="420" t="inlineStr"/>
      <c r="D37" s="420" t="inlineStr">
        <is>
          <t>2026-10-20</t>
        </is>
      </c>
      <c r="E37" s="420" t="inlineStr"/>
      <c r="F37" s="420" t="inlineStr"/>
      <c r="G37" s="171" t="inlineStr">
        <is>
          <t>10-20 — 1898 — Miguel de Unamuno, The Tragic Sense of Life in Men and Nations (selections)</t>
        </is>
      </c>
    </row>
    <row r="38">
      <c r="A38" s="169" t="inlineStr">
        <is>
          <t>Reading</t>
        </is>
      </c>
      <c r="B38" s="420" t="inlineStr"/>
      <c r="C38" s="420" t="inlineStr"/>
      <c r="D38" s="420" t="inlineStr">
        <is>
          <t>2026-10-27</t>
        </is>
      </c>
      <c r="E38" s="420" t="inlineStr"/>
      <c r="F38" s="420" t="inlineStr"/>
      <c r="G38" s="171" t="inlineStr">
        <is>
          <t>10-27 — Tales of Civilization and Barbarism — José Enrique Rodó, Ariel (selections)</t>
        </is>
      </c>
    </row>
    <row r="39">
      <c r="A39" s="169" t="inlineStr">
        <is>
          <t>Reading</t>
        </is>
      </c>
      <c r="B39" s="420" t="inlineStr"/>
      <c r="C39" s="420" t="inlineStr"/>
      <c r="D39" s="420" t="inlineStr">
        <is>
          <t>2026-10-27</t>
        </is>
      </c>
      <c r="E39" s="420" t="inlineStr"/>
      <c r="F39" s="420" t="inlineStr"/>
      <c r="G39" s="171" t="inlineStr">
        <is>
          <t>10-27 — Tales of Civilization and Barbarism — José Fernández Retamar, Caliban (selections)</t>
        </is>
      </c>
    </row>
    <row r="40">
      <c r="A40" s="169" t="inlineStr">
        <is>
          <t>Reading</t>
        </is>
      </c>
      <c r="B40" s="420" t="inlineStr"/>
      <c r="C40" s="420" t="inlineStr"/>
      <c r="D40" s="420" t="inlineStr">
        <is>
          <t>2026-10-29</t>
        </is>
      </c>
      <c r="E40" s="420" t="inlineStr"/>
      <c r="F40" s="420" t="inlineStr"/>
      <c r="G40" s="171" t="inlineStr">
        <is>
          <t>10-29 — Tales of Civilization and Barbarism — Castro, “Speech to Intellectuals”</t>
        </is>
      </c>
    </row>
    <row r="41">
      <c r="A41" s="169" t="inlineStr">
        <is>
          <t>Reading</t>
        </is>
      </c>
      <c r="B41" s="420" t="inlineStr"/>
      <c r="C41" s="420" t="inlineStr"/>
      <c r="D41" s="420" t="inlineStr">
        <is>
          <t>2026-10-29</t>
        </is>
      </c>
      <c r="E41" s="420" t="inlineStr"/>
      <c r="F41" s="420" t="inlineStr"/>
      <c r="G41" s="171" t="inlineStr">
        <is>
          <t>10-29 — Tales of Civilization and Barbarism — Film: Tomás Gutiérrez Alea, Memories of Underdevelopment (screened at home</t>
        </is>
      </c>
    </row>
    <row r="42">
      <c r="A42" s="169" t="inlineStr">
        <is>
          <t>Reading</t>
        </is>
      </c>
      <c r="B42" s="420" t="inlineStr"/>
      <c r="C42" s="420" t="inlineStr"/>
      <c r="D42" s="420" t="inlineStr">
        <is>
          <t>2026-11-03</t>
        </is>
      </c>
      <c r="E42" s="420" t="inlineStr"/>
      <c r="F42" s="420" t="inlineStr"/>
      <c r="G42" s="171" t="inlineStr">
        <is>
          <t>11-03 — Race and the Anthropological Imagination — José Vasconcelos, The Cosmic Race (selections)</t>
        </is>
      </c>
    </row>
    <row r="43">
      <c r="A43" s="169" t="inlineStr">
        <is>
          <t>Reading</t>
        </is>
      </c>
      <c r="B43" s="420" t="inlineStr"/>
      <c r="C43" s="420" t="inlineStr"/>
      <c r="D43" s="420" t="inlineStr">
        <is>
          <t>2026-11-03</t>
        </is>
      </c>
      <c r="E43" s="420" t="inlineStr"/>
      <c r="F43" s="420" t="inlineStr"/>
      <c r="G43" s="171" t="inlineStr">
        <is>
          <t>11-03 — Race and the Anthropological Imagination — Oswald de Andrade, Cannibalist Manifesto</t>
        </is>
      </c>
    </row>
    <row r="44">
      <c r="A44" s="169" t="inlineStr">
        <is>
          <t>Reading</t>
        </is>
      </c>
      <c r="B44" s="420" t="inlineStr"/>
      <c r="C44" s="420" t="inlineStr"/>
      <c r="D44" s="420" t="inlineStr">
        <is>
          <t>2026-11-05</t>
        </is>
      </c>
      <c r="E44" s="420" t="inlineStr"/>
      <c r="F44" s="420" t="inlineStr"/>
      <c r="G44" s="171" t="inlineStr">
        <is>
          <t>11-05 — Race and the Anthropological Imagination — Film: José Luis Sáenz de Heredia, Raza (selections screened during le</t>
        </is>
      </c>
    </row>
    <row r="45">
      <c r="A45" s="169" t="inlineStr">
        <is>
          <t>Reading</t>
        </is>
      </c>
      <c r="B45" s="420" t="inlineStr"/>
      <c r="C45" s="420" t="inlineStr"/>
      <c r="D45" s="420" t="inlineStr">
        <is>
          <t>2026-11-10</t>
        </is>
      </c>
      <c r="E45" s="420" t="inlineStr"/>
      <c r="F45" s="420" t="inlineStr"/>
      <c r="G45" s="171" t="inlineStr">
        <is>
          <t>11-10 — After the Spanish Republic I</t>
        </is>
      </c>
    </row>
    <row r="46">
      <c r="A46" s="169" t="inlineStr">
        <is>
          <t>Reading</t>
        </is>
      </c>
      <c r="B46" s="420" t="inlineStr"/>
      <c r="C46" s="420" t="inlineStr"/>
      <c r="D46" s="420" t="inlineStr">
        <is>
          <t>2026-11-10</t>
        </is>
      </c>
      <c r="E46" s="420" t="inlineStr"/>
      <c r="F46" s="420" t="inlineStr"/>
      <c r="G46" s="171" t="inlineStr">
        <is>
          <t>11-10 — After the Spanish Republic I — Film: Guillermo del Toro, Pan’s Labyrinth</t>
        </is>
      </c>
    </row>
    <row r="47">
      <c r="A47" s="169" t="inlineStr">
        <is>
          <t>Reading</t>
        </is>
      </c>
      <c r="B47" s="420" t="inlineStr"/>
      <c r="C47" s="420" t="inlineStr"/>
      <c r="D47" s="420" t="inlineStr">
        <is>
          <t>2026-11-17</t>
        </is>
      </c>
      <c r="E47" s="420" t="inlineStr"/>
      <c r="F47" s="420" t="inlineStr"/>
      <c r="G47" s="171" t="inlineStr">
        <is>
          <t>11-17 — After the Spanish Republic II</t>
        </is>
      </c>
    </row>
    <row r="48">
      <c r="A48" s="169" t="inlineStr">
        <is>
          <t>Reading</t>
        </is>
      </c>
      <c r="B48" s="420" t="inlineStr"/>
      <c r="C48" s="420" t="inlineStr"/>
      <c r="D48" s="420" t="inlineStr">
        <is>
          <t>2026-11-17</t>
        </is>
      </c>
      <c r="E48" s="420" t="inlineStr"/>
      <c r="F48" s="420" t="inlineStr"/>
      <c r="G48" s="171" t="inlineStr">
        <is>
          <t>11-17 — After the Spanish Republic II — Film: Pedro Almodóvar, All About My Mother</t>
        </is>
      </c>
    </row>
    <row r="49">
      <c r="A49" s="169" t="inlineStr">
        <is>
          <t>Reading</t>
        </is>
      </c>
      <c r="B49" s="420" t="inlineStr"/>
      <c r="C49" s="420" t="inlineStr"/>
      <c r="D49" s="420" t="inlineStr">
        <is>
          <t>2026-11-24</t>
        </is>
      </c>
      <c r="E49" s="420" t="inlineStr"/>
      <c r="F49" s="420" t="inlineStr"/>
      <c r="G49" s="171" t="inlineStr">
        <is>
          <t>11-24 — Literature Today — Bolaño, Amulet</t>
        </is>
      </c>
    </row>
    <row r="50">
      <c r="A50" s="169" t="inlineStr">
        <is>
          <t>Reading</t>
        </is>
      </c>
      <c r="B50" s="420" t="inlineStr"/>
      <c r="C50" s="420" t="inlineStr"/>
      <c r="D50" s="420" t="inlineStr">
        <is>
          <t>2026-12-01</t>
        </is>
      </c>
      <c r="E50" s="420" t="inlineStr"/>
      <c r="F50" s="420" t="inlineStr"/>
      <c r="G50" s="171" t="inlineStr">
        <is>
          <t>12-01 — Literature Today — Bolaño, Amulet</t>
        </is>
      </c>
    </row>
    <row r="51">
      <c r="A51" s="169" t="inlineStr">
        <is>
          <t>Reading</t>
        </is>
      </c>
      <c r="B51" s="420" t="inlineStr"/>
      <c r="C51" s="420" t="inlineStr"/>
      <c r="D51" s="420" t="inlineStr">
        <is>
          <t>2026-12-03</t>
        </is>
      </c>
      <c r="E51" s="420" t="inlineStr"/>
      <c r="F51" s="420" t="inlineStr"/>
      <c r="G51" s="171" t="inlineStr">
        <is>
          <t>12-03 — FINAL REVIEW</t>
        </is>
      </c>
    </row>
    <row r="52">
      <c r="A52" s="172" t="inlineStr">
        <is>
          <t>Essay 1</t>
        </is>
      </c>
      <c r="B52" s="418" t="inlineStr">
        <is>
          <t>100 pts</t>
        </is>
      </c>
      <c r="C52" s="421" t="inlineStr"/>
      <c r="D52" s="421" t="inlineStr">
        <is>
          <t>2026-09-18</t>
        </is>
      </c>
      <c r="E52" s="421" t="inlineStr"/>
      <c r="F52" s="421" t="inlineStr">
        <is>
          <t>No</t>
        </is>
      </c>
      <c r="G52" s="174">
        <f>HYPERLINK("https://raw.githubusercontent.com/vengeanceaiUSC/Syllabus-/cursor/add-syllabus-dissector-skill-a676/output/documents/span-290-essay-1.pdf","Open PDF")</f>
        <v/>
      </c>
    </row>
    <row r="53">
      <c r="A53" s="175" t="inlineStr">
        <is>
          <t>Assignment</t>
        </is>
      </c>
      <c r="B53" s="420" t="inlineStr"/>
      <c r="C53" s="420" t="inlineStr"/>
      <c r="D53" s="420" t="inlineStr">
        <is>
          <t>2026-09-18</t>
        </is>
      </c>
      <c r="E53" s="420" t="inlineStr"/>
      <c r="F53" s="420" t="inlineStr"/>
      <c r="G53" s="171" t="inlineStr">
        <is>
          <t>Essay 1</t>
        </is>
      </c>
    </row>
    <row r="54">
      <c r="A54" s="165" t="inlineStr">
        <is>
          <t>Essay 2</t>
        </is>
      </c>
      <c r="B54" s="418" t="inlineStr">
        <is>
          <t>100 pts</t>
        </is>
      </c>
      <c r="C54" s="419" t="inlineStr"/>
      <c r="D54" s="419" t="inlineStr">
        <is>
          <t>2026-11-20</t>
        </is>
      </c>
      <c r="E54" s="419" t="inlineStr"/>
      <c r="F54" s="419" t="inlineStr">
        <is>
          <t>No</t>
        </is>
      </c>
      <c r="G54" s="168">
        <f>HYPERLINK("https://raw.githubusercontent.com/vengeanceaiUSC/Syllabus-/cursor/add-syllabus-dissector-skill-a676/output/documents/span-290-essay-2.pdf","Open PDF")</f>
        <v/>
      </c>
    </row>
    <row r="55">
      <c r="A55" s="175" t="inlineStr">
        <is>
          <t>Assignment</t>
        </is>
      </c>
      <c r="B55" s="420" t="inlineStr"/>
      <c r="C55" s="420" t="inlineStr"/>
      <c r="D55" s="420" t="inlineStr">
        <is>
          <t>2026-11-20</t>
        </is>
      </c>
      <c r="E55" s="420" t="inlineStr"/>
      <c r="F55" s="420" t="inlineStr"/>
      <c r="G55" s="171" t="inlineStr">
        <is>
          <t>Essay 2</t>
        </is>
      </c>
    </row>
    <row r="56">
      <c r="A56" s="172" t="inlineStr">
        <is>
          <t>Midterm Exam</t>
        </is>
      </c>
      <c r="B56" s="418" t="inlineStr">
        <is>
          <t>100 pts</t>
        </is>
      </c>
      <c r="C56" s="421" t="inlineStr"/>
      <c r="D56" s="421" t="inlineStr">
        <is>
          <t>2026-10-01</t>
        </is>
      </c>
      <c r="E56" s="421" t="inlineStr"/>
      <c r="F56" s="421" t="inlineStr">
        <is>
          <t>No</t>
        </is>
      </c>
      <c r="G56" s="174">
        <f>HYPERLINK("https://raw.githubusercontent.com/vengeanceaiUSC/Syllabus-/cursor/add-syllabus-dissector-skill-a676/output/documents/span-290-midterm-exam.pdf","Open PDF")</f>
        <v/>
      </c>
    </row>
    <row r="57">
      <c r="A57" s="169" t="inlineStr">
        <is>
          <t>Reading</t>
        </is>
      </c>
      <c r="B57" s="420" t="inlineStr"/>
      <c r="C57" s="420" t="inlineStr"/>
      <c r="D57" s="420" t="inlineStr">
        <is>
          <t>2026-09-29</t>
        </is>
      </c>
      <c r="E57" s="420" t="inlineStr"/>
      <c r="F57" s="420" t="inlineStr"/>
      <c r="G57" s="171" t="inlineStr">
        <is>
          <t>Midterm Review session</t>
        </is>
      </c>
    </row>
    <row r="58">
      <c r="A58" s="176" t="inlineStr">
        <is>
          <t>Exam</t>
        </is>
      </c>
      <c r="B58" s="420" t="inlineStr"/>
      <c r="C58" s="420" t="inlineStr"/>
      <c r="D58" s="420" t="inlineStr">
        <is>
          <t>2026-10-01</t>
        </is>
      </c>
      <c r="E58" s="420" t="inlineStr"/>
      <c r="F58" s="420" t="inlineStr"/>
      <c r="G58" s="171" t="inlineStr">
        <is>
          <t>Midterm Exam (in class)</t>
        </is>
      </c>
    </row>
    <row r="59">
      <c r="A59" s="165" t="inlineStr">
        <is>
          <t>Final Exam</t>
        </is>
      </c>
      <c r="B59" s="418" t="inlineStr">
        <is>
          <t>100 pts</t>
        </is>
      </c>
      <c r="C59" s="419" t="inlineStr"/>
      <c r="D59" s="419" t="inlineStr"/>
      <c r="E59" s="419" t="inlineStr"/>
      <c r="F59" s="419" t="inlineStr">
        <is>
          <t>No</t>
        </is>
      </c>
      <c r="G59" s="168">
        <f>HYPERLINK("https://raw.githubusercontent.com/vengeanceaiUSC/Syllabus-/cursor/add-syllabus-dissector-skill-a676/output/documents/span-290-final-exam.pdf","Open PDF")</f>
        <v/>
      </c>
    </row>
    <row r="60">
      <c r="A60" s="169" t="inlineStr">
        <is>
          <t>Reading</t>
        </is>
      </c>
      <c r="B60" s="420" t="inlineStr"/>
      <c r="C60" s="420" t="inlineStr"/>
      <c r="D60" s="420" t="inlineStr">
        <is>
          <t>2026-12-03</t>
        </is>
      </c>
      <c r="E60" s="420" t="inlineStr"/>
      <c r="F60" s="420" t="inlineStr"/>
      <c r="G60" s="171" t="inlineStr">
        <is>
          <t>Final Review session</t>
        </is>
      </c>
    </row>
    <row r="61">
      <c r="A61" s="29" t="inlineStr">
        <is>
          <t>Total</t>
        </is>
      </c>
      <c r="B61" s="177" t="inlineStr">
        <is>
          <t>500%</t>
        </is>
      </c>
    </row>
  </sheetData>
  <mergeCells count="6">
    <mergeCell ref="B3:G3"/>
    <mergeCell ref="A1:G1"/>
    <mergeCell ref="B4:G4"/>
    <mergeCell ref="A2:G2"/>
    <mergeCell ref="A7:G7"/>
    <mergeCell ref="B6:G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2026-08-20T23:25:37Z</dcterms:created>
  <dcterms:modified xmlns:dcterms="http://purl.org/dc/terms/" xmlns:xsi="http://www.w3.org/2001/XMLSchema-instance" xsi:type="dcterms:W3CDTF">2026-08-31T15:28:54Z</dcterms:modified>
</cp:coreProperties>
</file>