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BUAD-304" sheetId="5" state="visible" r:id="rId5"/>
  </sheets>
  <definedNames/>
  <calcPr calcId="124519" fullCalcOnLoad="1"/>
</workbook>
</file>

<file path=xl/styles.xml><?xml version="1.0" encoding="utf-8"?>
<styleSheet xmlns="http://schemas.openxmlformats.org/spreadsheetml/2006/main">
  <numFmts count="0"/>
  <fonts count="33">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s>
  <fills count="37">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62">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s>
</file>

<file path=xl/worksheets/sheet1.xml><?xml version="1.0" encoding="utf-8"?>
<worksheet xmlns="http://schemas.openxmlformats.org/spreadsheetml/2006/main">
  <sheetPr>
    <tabColor rgb="00203764"/>
    <outlinePr summaryBelow="0" summaryRight="1"/>
    <pageSetUpPr/>
  </sheetPr>
  <dimension ref="A1:K126"/>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row r="11" hidden="1" outlineLevel="1">
      <c r="A11" s="13" t="inlineStr">
        <is>
          <t>Consensus - recurring student review themes</t>
        </is>
      </c>
    </row>
    <row r="12" hidden="1" outlineLevel="1" ht="135" customHeight="1">
      <c r="A12" s="104" t="inlineStr">
        <is>
          <t>BUAD-281</t>
        </is>
      </c>
      <c r="B12" s="105" t="inlineStr">
        <is>
          <t>George Braunegg</t>
        </is>
      </c>
      <c r="C12"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3" hidden="1" outlineLevel="1" ht="135" customHeight="1">
      <c r="A13" s="106" t="inlineStr">
        <is>
          <t>BUAD-304</t>
        </is>
      </c>
      <c r="B13" s="107" t="inlineStr">
        <is>
          <t>Christine El Haddad</t>
        </is>
      </c>
      <c r="C13"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4" hidden="1" outlineLevel="1" ht="165" customHeight="1">
      <c r="A14" s="104" t="inlineStr">
        <is>
          <t>ECON-351</t>
        </is>
      </c>
      <c r="B14" s="105" t="inlineStr">
        <is>
          <t>Alejandro Martínez-Marquina / João Ramos (RMP: Alejandro Martínez-Marquina)</t>
        </is>
      </c>
      <c r="C14"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5" hidden="1" outlineLevel="1" ht="135" customHeight="1">
      <c r="A15" s="106" t="inlineStr">
        <is>
          <t>HIST-103</t>
        </is>
      </c>
      <c r="B15" s="107" t="inlineStr">
        <is>
          <t>Lindsay O'Neill</t>
        </is>
      </c>
      <c r="C15"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6" hidden="1" outlineLevel="1"/>
    <row r="17" hidden="1" outlineLevel="1">
      <c r="A17" s="13" t="inlineStr">
        <is>
          <t>Student reviews (Rate My Professors) - newest first</t>
        </is>
      </c>
    </row>
    <row r="18" hidden="1" outlineLevel="1">
      <c r="A18" s="6" t="inlineStr">
        <is>
          <t>Class</t>
        </is>
      </c>
      <c r="B18" s="6" t="inlineStr">
        <is>
          <t>Date</t>
        </is>
      </c>
      <c r="C18" s="6" t="inlineStr">
        <is>
          <t>Grade</t>
        </is>
      </c>
      <c r="D18" s="6" t="inlineStr">
        <is>
          <t>Q/D</t>
        </is>
      </c>
      <c r="E18" s="6" t="inlineStr">
        <is>
          <t>Review</t>
        </is>
      </c>
    </row>
    <row r="19" hidden="1" outlineLevel="1" ht="30" customHeight="1">
      <c r="A19" s="104" t="inlineStr">
        <is>
          <t>ECON-351</t>
        </is>
      </c>
      <c r="B19" s="105" t="inlineStr">
        <is>
          <t>2026-02-25</t>
        </is>
      </c>
      <c r="C19" s="105" t="inlineStr">
        <is>
          <t>A</t>
        </is>
      </c>
      <c r="D19" s="105" t="inlineStr">
        <is>
          <t>5/1</t>
        </is>
      </c>
      <c r="E19" s="8" t="inlineStr">
        <is>
          <t>The tests are easy if you just do the practice sets. He's great at explanations. [Amazing lectures, So many papers, Graded by few things]</t>
        </is>
      </c>
    </row>
    <row r="20" hidden="1" outlineLevel="1" ht="75" customHeight="1">
      <c r="A20" s="107" t="inlineStr"/>
      <c r="B20" s="107" t="inlineStr">
        <is>
          <t>2026-01-27</t>
        </is>
      </c>
      <c r="C20" s="107" t="inlineStr">
        <is>
          <t>C-</t>
        </is>
      </c>
      <c r="D20" s="107" t="inlineStr">
        <is>
          <t>5/4</t>
        </is>
      </c>
      <c r="E20"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1" hidden="1" outlineLevel="1" ht="60" customHeight="1">
      <c r="A21" s="105" t="inlineStr"/>
      <c r="B21" s="105" t="inlineStr">
        <is>
          <t>2026-01-07</t>
        </is>
      </c>
      <c r="C21" s="105" t="inlineStr">
        <is>
          <t>A</t>
        </is>
      </c>
      <c r="D21" s="105" t="inlineStr">
        <is>
          <t>4/3</t>
        </is>
      </c>
      <c r="E21"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2" hidden="1" outlineLevel="1" ht="75" customHeight="1">
      <c r="A22" s="107" t="inlineStr"/>
      <c r="B22" s="107" t="inlineStr">
        <is>
          <t>2026-01-06</t>
        </is>
      </c>
      <c r="C22" s="107" t="inlineStr">
        <is>
          <t>C-</t>
        </is>
      </c>
      <c r="D22" s="107" t="inlineStr">
        <is>
          <t>3/4</t>
        </is>
      </c>
      <c r="E22"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3" hidden="1" outlineLevel="1" ht="90" customHeight="1">
      <c r="A23" s="105" t="inlineStr"/>
      <c r="B23" s="105" t="inlineStr">
        <is>
          <t>2025-12-30</t>
        </is>
      </c>
      <c r="C23" s="105" t="inlineStr">
        <is>
          <t>A</t>
        </is>
      </c>
      <c r="D23" s="105" t="inlineStr">
        <is>
          <t>4/4</t>
        </is>
      </c>
      <c r="E23"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4" hidden="1" outlineLevel="1" ht="75" customHeight="1">
      <c r="A24" s="107" t="inlineStr"/>
      <c r="B24" s="107" t="inlineStr">
        <is>
          <t>2025-12-24</t>
        </is>
      </c>
      <c r="C24" s="107" t="inlineStr">
        <is>
          <t>A</t>
        </is>
      </c>
      <c r="D24" s="107" t="inlineStr">
        <is>
          <t>5/3</t>
        </is>
      </c>
      <c r="E24"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5" hidden="1" outlineLevel="1" ht="60" customHeight="1">
      <c r="A25" s="105" t="inlineStr"/>
      <c r="B25" s="105" t="inlineStr">
        <is>
          <t>2025-12-16</t>
        </is>
      </c>
      <c r="C25" s="105" t="inlineStr">
        <is>
          <t>A</t>
        </is>
      </c>
      <c r="D25" s="105" t="inlineStr">
        <is>
          <t>5/3</t>
        </is>
      </c>
      <c r="E25"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26" hidden="1" outlineLevel="1" ht="75" customHeight="1">
      <c r="A26" s="107" t="inlineStr"/>
      <c r="B26" s="107" t="inlineStr">
        <is>
          <t>2025-12-11</t>
        </is>
      </c>
      <c r="C26" s="107" t="inlineStr">
        <is>
          <t>Not sure yet</t>
        </is>
      </c>
      <c r="D26" s="107" t="inlineStr">
        <is>
          <t>5/3</t>
        </is>
      </c>
      <c r="E26"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27" hidden="1" outlineLevel="1" ht="75" customHeight="1">
      <c r="A27" s="105" t="inlineStr"/>
      <c r="B27" s="105" t="inlineStr">
        <is>
          <t>2025-12-05</t>
        </is>
      </c>
      <c r="C27" s="105" t="inlineStr">
        <is>
          <t>Drop/Withdrawal</t>
        </is>
      </c>
      <c r="D27" s="105" t="inlineStr">
        <is>
          <t>1/5</t>
        </is>
      </c>
      <c r="E27"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28" hidden="1" outlineLevel="1" ht="60" customHeight="1">
      <c r="A28" s="107" t="inlineStr"/>
      <c r="B28" s="107" t="inlineStr">
        <is>
          <t>2025-12-04</t>
        </is>
      </c>
      <c r="C28" s="107" t="inlineStr">
        <is>
          <t>Not sure yet</t>
        </is>
      </c>
      <c r="D28" s="107" t="inlineStr">
        <is>
          <t>1/5</t>
        </is>
      </c>
      <c r="E28" s="11" t="inlineStr">
        <is>
          <t>- Genuinely moves at the speed of light - Is accessible outside of class, but truly have to grind for an A - Exams are super hard, homeworks are free - Professor is a bit condescending but means well [Lecture heavy, Test heavy, Graded by few things]</t>
        </is>
      </c>
    </row>
    <row r="29" hidden="1" outlineLevel="1" ht="45" customHeight="1">
      <c r="A29" s="105" t="inlineStr"/>
      <c r="B29" s="105" t="inlineStr">
        <is>
          <t>2025-11-17</t>
        </is>
      </c>
      <c r="C29" s="105" t="inlineStr">
        <is>
          <t>Not sure yet</t>
        </is>
      </c>
      <c r="D29" s="105" t="inlineStr">
        <is>
          <t>3/4</t>
        </is>
      </c>
      <c r="E29" s="8" t="inlineStr">
        <is>
          <t>His accent and super fast pace of the class/lecture make it so hard to understand. The class is already hard and the speed of the lectures make this so hard [Lecture heavy, Graded by few things]</t>
        </is>
      </c>
    </row>
    <row r="30" hidden="1" outlineLevel="1" ht="75" customHeight="1">
      <c r="A30" s="107" t="inlineStr"/>
      <c r="B30" s="107" t="inlineStr">
        <is>
          <t>2025-10-16</t>
        </is>
      </c>
      <c r="C30" s="107" t="inlineStr">
        <is>
          <t>Not sure yet</t>
        </is>
      </c>
      <c r="D30" s="107" t="inlineStr">
        <is>
          <t>5/3</t>
        </is>
      </c>
      <c r="E30"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1" hidden="1" outlineLevel="1" ht="30" customHeight="1">
      <c r="A31" s="105" t="inlineStr"/>
      <c r="B31" s="105" t="inlineStr">
        <is>
          <t>2025-10-15</t>
        </is>
      </c>
      <c r="C31" s="105" t="inlineStr">
        <is>
          <t>-</t>
        </is>
      </c>
      <c r="D31" s="105" t="inlineStr">
        <is>
          <t>5/2</t>
        </is>
      </c>
      <c r="E31" s="8" t="inlineStr">
        <is>
          <t>Fantastic Professor. Easy looking at. Funny guy. Muy bien</t>
        </is>
      </c>
    </row>
    <row r="32" hidden="1" outlineLevel="1" ht="45" customHeight="1">
      <c r="A32" s="107" t="inlineStr"/>
      <c r="B32" s="107" t="inlineStr">
        <is>
          <t>2025-10-06</t>
        </is>
      </c>
      <c r="C32" s="107" t="inlineStr">
        <is>
          <t>Not sure yet</t>
        </is>
      </c>
      <c r="D32" s="107" t="inlineStr">
        <is>
          <t>4/2</t>
        </is>
      </c>
      <c r="E32" s="11" t="inlineStr">
        <is>
          <t>Talks too fast and is hard to understand because of his accent. He mostly reads off the slides. But fun classes and passionate lecturer who encourages questions. He also uses real life examples which is useful.</t>
        </is>
      </c>
    </row>
    <row r="33" hidden="1" outlineLevel="1" ht="60" customHeight="1">
      <c r="A33" s="105" t="inlineStr"/>
      <c r="B33" s="105" t="inlineStr">
        <is>
          <t>2025-10-06</t>
        </is>
      </c>
      <c r="C33" s="105" t="inlineStr">
        <is>
          <t>Not sure yet</t>
        </is>
      </c>
      <c r="D33" s="105" t="inlineStr">
        <is>
          <t>1/4</t>
        </is>
      </c>
      <c r="E33"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4" hidden="1" outlineLevel="1" ht="45" customHeight="1">
      <c r="A34" s="107" t="inlineStr"/>
      <c r="B34" s="107" t="inlineStr">
        <is>
          <t>2025-10-06</t>
        </is>
      </c>
      <c r="C34" s="107" t="inlineStr">
        <is>
          <t>Not sure yet</t>
        </is>
      </c>
      <c r="D34" s="107" t="inlineStr">
        <is>
          <t>5/4</t>
        </is>
      </c>
      <c r="E34" s="11" t="inlineStr">
        <is>
          <t>no glaze, he's a really good professor and explained concepts very well. Would take him again every single time if I could choose. [Amazing lectures, Inspirational, Caring]</t>
        </is>
      </c>
    </row>
    <row r="35" hidden="1" outlineLevel="1" ht="45" customHeight="1">
      <c r="A35" s="105" t="inlineStr"/>
      <c r="B35" s="105" t="inlineStr">
        <is>
          <t>2025-06-25</t>
        </is>
      </c>
      <c r="C35" s="105" t="inlineStr">
        <is>
          <t>A</t>
        </is>
      </c>
      <c r="D35" s="105" t="inlineStr">
        <is>
          <t>5/2</t>
        </is>
      </c>
      <c r="E35" s="8" t="inlineStr">
        <is>
          <t>Best professor I've had at USC. Took his econ351 class in fall 2024 and learned so much. Class is on Marshall curve so its competitive to get an A, but it wasn't that hard. [Inspirational, Lecture heavy, Graded by few things]</t>
        </is>
      </c>
    </row>
    <row r="36" hidden="1" outlineLevel="1" ht="75" customHeight="1">
      <c r="A36" s="107" t="inlineStr"/>
      <c r="B36" s="107" t="inlineStr">
        <is>
          <t>2025-05-30</t>
        </is>
      </c>
      <c r="C36" s="107" t="inlineStr">
        <is>
          <t>A</t>
        </is>
      </c>
      <c r="D36" s="107" t="inlineStr">
        <is>
          <t>5/2</t>
        </is>
      </c>
      <c r="E36"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37" hidden="1" outlineLevel="1" ht="60" customHeight="1">
      <c r="A37" s="105" t="inlineStr"/>
      <c r="B37" s="105" t="inlineStr">
        <is>
          <t>2025-05-17</t>
        </is>
      </c>
      <c r="C37" s="105" t="inlineStr">
        <is>
          <t>A</t>
        </is>
      </c>
      <c r="D37" s="105" t="inlineStr">
        <is>
          <t>5/2</t>
        </is>
      </c>
      <c r="E37"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38" hidden="1" outlineLevel="1" ht="75" customHeight="1">
      <c r="A38" s="107" t="inlineStr"/>
      <c r="B38" s="107" t="inlineStr">
        <is>
          <t>2025-05-01</t>
        </is>
      </c>
      <c r="C38" s="107" t="inlineStr">
        <is>
          <t>B-</t>
        </is>
      </c>
      <c r="D38" s="107" t="inlineStr">
        <is>
          <t>2/5</t>
        </is>
      </c>
      <c r="E38"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39" hidden="1" outlineLevel="1" ht="30" customHeight="1">
      <c r="A39" s="105" t="inlineStr"/>
      <c r="B39" s="105" t="inlineStr">
        <is>
          <t>2025-01-29</t>
        </is>
      </c>
      <c r="C39" s="105" t="inlineStr">
        <is>
          <t>Not sure yet</t>
        </is>
      </c>
      <c r="D39" s="105" t="inlineStr">
        <is>
          <t>5/5</t>
        </is>
      </c>
      <c r="E39" s="8" t="inlineStr">
        <is>
          <t>He's so easy to look at&amp;#8230; take him [Tough grader, EXTRA CREDIT, Amazing lectures]</t>
        </is>
      </c>
    </row>
    <row r="40" hidden="1" outlineLevel="1" ht="75" customHeight="1">
      <c r="A40" s="107" t="inlineStr"/>
      <c r="B40" s="107" t="inlineStr">
        <is>
          <t>2025-01-18</t>
        </is>
      </c>
      <c r="C40" s="107" t="inlineStr">
        <is>
          <t>A</t>
        </is>
      </c>
      <c r="D40" s="107" t="inlineStr">
        <is>
          <t>5/2</t>
        </is>
      </c>
      <c r="E40"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1" hidden="1" outlineLevel="1" ht="60" customHeight="1">
      <c r="A41" s="105" t="inlineStr"/>
      <c r="B41" s="105" t="inlineStr">
        <is>
          <t>2025-01-10</t>
        </is>
      </c>
      <c r="C41" s="105" t="inlineStr">
        <is>
          <t>B</t>
        </is>
      </c>
      <c r="D41" s="105" t="inlineStr">
        <is>
          <t>2/4</t>
        </is>
      </c>
      <c r="E41"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2" hidden="1" outlineLevel="1" ht="60" customHeight="1">
      <c r="A42" s="107" t="inlineStr"/>
      <c r="B42" s="107" t="inlineStr">
        <is>
          <t>2025-01-02</t>
        </is>
      </c>
      <c r="C42" s="107" t="inlineStr">
        <is>
          <t>Not sure yet</t>
        </is>
      </c>
      <c r="D42" s="107" t="inlineStr">
        <is>
          <t>3/5</t>
        </is>
      </c>
      <c r="E42"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3" hidden="1" outlineLevel="1" ht="75" customHeight="1">
      <c r="A43" s="105" t="inlineStr"/>
      <c r="B43" s="105" t="inlineStr">
        <is>
          <t>2024-12-28</t>
        </is>
      </c>
      <c r="C43" s="105" t="inlineStr">
        <is>
          <t>A</t>
        </is>
      </c>
      <c r="D43" s="105" t="inlineStr">
        <is>
          <t>5/3</t>
        </is>
      </c>
      <c r="E43"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4" hidden="1" outlineLevel="1" ht="30" customHeight="1">
      <c r="A44" s="107" t="inlineStr"/>
      <c r="B44" s="107" t="inlineStr">
        <is>
          <t>2024-12-21</t>
        </is>
      </c>
      <c r="C44" s="107" t="inlineStr">
        <is>
          <t>A</t>
        </is>
      </c>
      <c r="D44" s="107" t="inlineStr">
        <is>
          <t>5/3</t>
        </is>
      </c>
      <c r="E44" s="11" t="inlineStr">
        <is>
          <t>Awesome professor. Lectures are interesting and exams are very similar to practice tests. [Amazing lectures, Clear grading criteria, Graded by few things]</t>
        </is>
      </c>
    </row>
    <row r="45" hidden="1" outlineLevel="1" ht="75" customHeight="1">
      <c r="A45" s="105" t="inlineStr"/>
      <c r="B45" s="105" t="inlineStr">
        <is>
          <t>2024-12-21</t>
        </is>
      </c>
      <c r="C45" s="105" t="inlineStr">
        <is>
          <t>B+</t>
        </is>
      </c>
      <c r="D45" s="105" t="inlineStr">
        <is>
          <t>4/5</t>
        </is>
      </c>
      <c r="E45"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46" hidden="1" outlineLevel="1" ht="75" customHeight="1">
      <c r="A46" s="107" t="inlineStr"/>
      <c r="B46" s="107" t="inlineStr">
        <is>
          <t>2024-12-20</t>
        </is>
      </c>
      <c r="C46" s="107" t="inlineStr">
        <is>
          <t>A</t>
        </is>
      </c>
      <c r="D46" s="107" t="inlineStr">
        <is>
          <t>5/3</t>
        </is>
      </c>
      <c r="E46"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47" hidden="1" outlineLevel="1" ht="45" customHeight="1">
      <c r="A47" s="105" t="inlineStr"/>
      <c r="B47" s="105" t="inlineStr">
        <is>
          <t>2024-12-20</t>
        </is>
      </c>
      <c r="C47" s="105" t="inlineStr">
        <is>
          <t>A</t>
        </is>
      </c>
      <c r="D47" s="105" t="inlineStr">
        <is>
          <t>5/3</t>
        </is>
      </c>
      <c r="E47" s="8" t="inlineStr">
        <is>
          <t>Amazing professor! He includes real-world applications, which helps with understanding. And, I thought the class aligned with what he shared on the first day. Overall could not recommend more! [Amazing lectures, Caring]</t>
        </is>
      </c>
    </row>
    <row r="48" hidden="1" outlineLevel="1" ht="60" customHeight="1">
      <c r="A48" s="107" t="inlineStr"/>
      <c r="B48" s="107" t="inlineStr">
        <is>
          <t>2024-12-19</t>
        </is>
      </c>
      <c r="C48" s="107" t="inlineStr">
        <is>
          <t>A</t>
        </is>
      </c>
      <c r="D48" s="107" t="inlineStr">
        <is>
          <t>5/2</t>
        </is>
      </c>
      <c r="E48"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49" hidden="1" outlineLevel="1" ht="75" customHeight="1">
      <c r="A49" s="105" t="inlineStr"/>
      <c r="B49" s="105" t="inlineStr">
        <is>
          <t>2024-12-05</t>
        </is>
      </c>
      <c r="C49" s="105" t="inlineStr">
        <is>
          <t>A</t>
        </is>
      </c>
      <c r="D49" s="105" t="inlineStr">
        <is>
          <t>5/3</t>
        </is>
      </c>
      <c r="E49"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0" hidden="1" outlineLevel="1" ht="75" customHeight="1">
      <c r="A50" s="107" t="inlineStr"/>
      <c r="B50" s="107" t="inlineStr">
        <is>
          <t>2024-12-05</t>
        </is>
      </c>
      <c r="C50" s="107" t="inlineStr">
        <is>
          <t>-</t>
        </is>
      </c>
      <c r="D50" s="107" t="inlineStr">
        <is>
          <t>5/2</t>
        </is>
      </c>
      <c r="E50"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1" hidden="1" outlineLevel="1" ht="60" customHeight="1">
      <c r="A51" s="105" t="inlineStr"/>
      <c r="B51" s="105" t="inlineStr">
        <is>
          <t>2024-12-04</t>
        </is>
      </c>
      <c r="C51" s="105" t="inlineStr">
        <is>
          <t>Not sure yet</t>
        </is>
      </c>
      <c r="D51" s="105" t="inlineStr">
        <is>
          <t>5/1</t>
        </is>
      </c>
      <c r="E51" s="8" t="inlineStr">
        <is>
          <t>Professor Alejandro is awesome. His lecture is inspirational and well-explained. I love the vibe of his class, and the tests are always easy as long as you finish the sample problems. [Amazing lectures, Inspirational, Accessible outside class]</t>
        </is>
      </c>
    </row>
    <row r="52" hidden="1" outlineLevel="1" ht="75" customHeight="1">
      <c r="A52" s="107" t="inlineStr"/>
      <c r="B52" s="107" t="inlineStr">
        <is>
          <t>2024-12-03</t>
        </is>
      </c>
      <c r="C52" s="107" t="inlineStr">
        <is>
          <t>Not sure yet</t>
        </is>
      </c>
      <c r="D52" s="107" t="inlineStr">
        <is>
          <t>5/3</t>
        </is>
      </c>
      <c r="E52"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3" hidden="1" outlineLevel="1" ht="75" customHeight="1">
      <c r="A53" s="105" t="inlineStr"/>
      <c r="B53" s="105" t="inlineStr">
        <is>
          <t>2024-11-13</t>
        </is>
      </c>
      <c r="C53" s="105" t="inlineStr">
        <is>
          <t>A</t>
        </is>
      </c>
      <c r="D53" s="105" t="inlineStr">
        <is>
          <t>5/3</t>
        </is>
      </c>
      <c r="E53"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4" hidden="1" outlineLevel="1" ht="45" customHeight="1">
      <c r="A54" s="107" t="inlineStr"/>
      <c r="B54" s="107" t="inlineStr">
        <is>
          <t>2024-11-13</t>
        </is>
      </c>
      <c r="C54" s="107" t="inlineStr">
        <is>
          <t>Not sure yet</t>
        </is>
      </c>
      <c r="D54" s="107" t="inlineStr">
        <is>
          <t>5/2</t>
        </is>
      </c>
      <c r="E54" s="11" t="inlineStr">
        <is>
          <t>&amp;#128016;&amp;#128016;&amp;#128016;&amp;#128016;&amp;#128016;&amp;#128016;&amp;#128016;&amp;#128016;&amp;#128016;&amp;#128016;&amp;#128016;&amp;#128016;&amp;#128016;&amp;#128016;&amp;#128016;&amp;#128016;&amp;#128016;&amp;#128016;&amp;#128016;&amp;#128016;</t>
        </is>
      </c>
    </row>
    <row r="55" hidden="1" outlineLevel="1" ht="90" customHeight="1">
      <c r="A55" s="105" t="inlineStr"/>
      <c r="B55" s="105" t="inlineStr">
        <is>
          <t>2024-11-11</t>
        </is>
      </c>
      <c r="C55" s="105" t="inlineStr">
        <is>
          <t>-</t>
        </is>
      </c>
      <c r="D55" s="105" t="inlineStr">
        <is>
          <t>5/3</t>
        </is>
      </c>
      <c r="E55"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56" hidden="1" outlineLevel="1" ht="30" customHeight="1">
      <c r="A56" s="107" t="inlineStr"/>
      <c r="B56" s="107" t="inlineStr">
        <is>
          <t>2024-10-22</t>
        </is>
      </c>
      <c r="C56" s="107" t="inlineStr">
        <is>
          <t>A</t>
        </is>
      </c>
      <c r="D56" s="107" t="inlineStr">
        <is>
          <t>5/3</t>
        </is>
      </c>
      <c r="E56" s="11" t="inlineStr">
        <is>
          <t>Exam questions are very similar to the practice sets he provides. Wants you to do well. [Caring, Test heavy, Graded by few things]</t>
        </is>
      </c>
    </row>
    <row r="57" hidden="1" outlineLevel="1" ht="75" customHeight="1">
      <c r="A57" s="105" t="inlineStr"/>
      <c r="B57" s="105" t="inlineStr">
        <is>
          <t>2024-08-01</t>
        </is>
      </c>
      <c r="C57" s="105" t="inlineStr">
        <is>
          <t>A-</t>
        </is>
      </c>
      <c r="D57" s="105" t="inlineStr">
        <is>
          <t>5/2</t>
        </is>
      </c>
      <c r="E57"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58" hidden="1" outlineLevel="1" ht="60" customHeight="1">
      <c r="A58" s="107" t="inlineStr"/>
      <c r="B58" s="107" t="inlineStr">
        <is>
          <t>2024-06-22</t>
        </is>
      </c>
      <c r="C58" s="107" t="inlineStr">
        <is>
          <t>A</t>
        </is>
      </c>
      <c r="D58" s="107" t="inlineStr">
        <is>
          <t>5/3</t>
        </is>
      </c>
      <c r="E58"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59" hidden="1" outlineLevel="1" ht="45" customHeight="1">
      <c r="A59" s="105" t="inlineStr"/>
      <c r="B59" s="105" t="inlineStr">
        <is>
          <t>2024-06-19</t>
        </is>
      </c>
      <c r="C59" s="105" t="inlineStr">
        <is>
          <t>A-</t>
        </is>
      </c>
      <c r="D59" s="105" t="inlineStr">
        <is>
          <t>5/3</t>
        </is>
      </c>
      <c r="E59" s="8" t="inlineStr">
        <is>
          <t>I never went to his office hours and skipped around 70% of classes and still got a decent grade. He is a good lecturer and grades aren't hard to get. PLEASE do practice questions because exam questions are 80% based on them.</t>
        </is>
      </c>
    </row>
    <row r="60" hidden="1" outlineLevel="1" ht="75" customHeight="1">
      <c r="A60" s="107" t="inlineStr"/>
      <c r="B60" s="107" t="inlineStr">
        <is>
          <t>2024-05-28</t>
        </is>
      </c>
      <c r="C60" s="107" t="inlineStr">
        <is>
          <t>A</t>
        </is>
      </c>
      <c r="D60" s="107" t="inlineStr">
        <is>
          <t>5/2</t>
        </is>
      </c>
      <c r="E60"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1" hidden="1" outlineLevel="1" ht="75" customHeight="1">
      <c r="A61" s="105" t="inlineStr"/>
      <c r="B61" s="105" t="inlineStr">
        <is>
          <t>2024-05-19</t>
        </is>
      </c>
      <c r="C61" s="105" t="inlineStr">
        <is>
          <t>A</t>
        </is>
      </c>
      <c r="D61" s="105" t="inlineStr">
        <is>
          <t>5/1</t>
        </is>
      </c>
      <c r="E61"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2" hidden="1" outlineLevel="1" ht="75" customHeight="1">
      <c r="A62" s="107" t="inlineStr"/>
      <c r="B62" s="107" t="inlineStr">
        <is>
          <t>2024-05-10</t>
        </is>
      </c>
      <c r="C62" s="107" t="inlineStr">
        <is>
          <t>A</t>
        </is>
      </c>
      <c r="D62" s="107" t="inlineStr">
        <is>
          <t>5/3</t>
        </is>
      </c>
      <c r="E62"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3" hidden="1" outlineLevel="1" ht="90" customHeight="1">
      <c r="A63" s="105" t="inlineStr"/>
      <c r="B63" s="105" t="inlineStr">
        <is>
          <t>2024-05-02</t>
        </is>
      </c>
      <c r="C63" s="105" t="inlineStr">
        <is>
          <t>A+</t>
        </is>
      </c>
      <c r="D63" s="105" t="inlineStr">
        <is>
          <t>5/2</t>
        </is>
      </c>
      <c r="E63"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4" hidden="1" outlineLevel="1" ht="30" customHeight="1">
      <c r="A64" s="107" t="inlineStr"/>
      <c r="B64" s="107" t="inlineStr">
        <is>
          <t>2024-05-02</t>
        </is>
      </c>
      <c r="C64" s="107" t="inlineStr">
        <is>
          <t>A+</t>
        </is>
      </c>
      <c r="D64" s="107" t="inlineStr">
        <is>
          <t>5/3</t>
        </is>
      </c>
      <c r="E64" s="11" t="inlineStr">
        <is>
          <t>351 is a hard class and he's easily the best teacher for it. [Caring, Test heavy, Accessible outside class]</t>
        </is>
      </c>
    </row>
    <row r="65" hidden="1" outlineLevel="1" ht="75" customHeight="1">
      <c r="A65" s="105" t="inlineStr"/>
      <c r="B65" s="105" t="inlineStr">
        <is>
          <t>2024-05-02</t>
        </is>
      </c>
      <c r="C65" s="105" t="inlineStr">
        <is>
          <t>A</t>
        </is>
      </c>
      <c r="D65" s="105" t="inlineStr">
        <is>
          <t>5/3</t>
        </is>
      </c>
      <c r="E65"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66" hidden="1" outlineLevel="1" ht="45" customHeight="1">
      <c r="A66" s="107" t="inlineStr"/>
      <c r="B66" s="107" t="inlineStr">
        <is>
          <t>2024-04-25</t>
        </is>
      </c>
      <c r="C66" s="107" t="inlineStr">
        <is>
          <t>Not sure yet</t>
        </is>
      </c>
      <c r="D66" s="107" t="inlineStr">
        <is>
          <t>5/3</t>
        </is>
      </c>
      <c r="E66" s="11" t="inlineStr">
        <is>
          <t>Tests are very similar to practice problems, and lectures are easy to follow. If you show up to class it is very manageable! [Amazing lectures, Clear grading criteria, Gives good feedback]</t>
        </is>
      </c>
    </row>
    <row r="67" hidden="1" outlineLevel="1" ht="75" customHeight="1">
      <c r="A67" s="105" t="inlineStr"/>
      <c r="B67" s="105" t="inlineStr">
        <is>
          <t>2024-04-16</t>
        </is>
      </c>
      <c r="C67" s="105" t="inlineStr">
        <is>
          <t>Not sure yet</t>
        </is>
      </c>
      <c r="D67" s="105" t="inlineStr">
        <is>
          <t>5/3</t>
        </is>
      </c>
      <c r="E67"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68" hidden="1" outlineLevel="1" ht="60" customHeight="1">
      <c r="A68" s="107" t="inlineStr"/>
      <c r="B68" s="107" t="inlineStr">
        <is>
          <t>2024-04-15</t>
        </is>
      </c>
      <c r="C68" s="107" t="inlineStr">
        <is>
          <t>A</t>
        </is>
      </c>
      <c r="D68" s="107" t="inlineStr">
        <is>
          <t>5/2</t>
        </is>
      </c>
      <c r="E68"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69" hidden="1" outlineLevel="1" ht="75" customHeight="1">
      <c r="A69" s="105" t="inlineStr"/>
      <c r="B69" s="105" t="inlineStr">
        <is>
          <t>2024-04-02</t>
        </is>
      </c>
      <c r="C69" s="105" t="inlineStr">
        <is>
          <t>A</t>
        </is>
      </c>
      <c r="D69" s="105" t="inlineStr">
        <is>
          <t>5/4</t>
        </is>
      </c>
      <c r="E69"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0" hidden="1" outlineLevel="1" ht="30" customHeight="1">
      <c r="A70" s="107" t="inlineStr"/>
      <c r="B70" s="107" t="inlineStr">
        <is>
          <t>2023-10-25</t>
        </is>
      </c>
      <c r="C70" s="107" t="inlineStr">
        <is>
          <t>A</t>
        </is>
      </c>
      <c r="D70" s="107" t="inlineStr">
        <is>
          <t>5/1</t>
        </is>
      </c>
      <c r="E70" s="11" t="inlineStr">
        <is>
          <t>great professor with clear lectures, easy homework and tests [Amazing lectures, Caring, Respected]</t>
        </is>
      </c>
    </row>
    <row r="71" hidden="1" outlineLevel="1" ht="75" customHeight="1">
      <c r="A71" s="105" t="inlineStr"/>
      <c r="B71" s="105" t="inlineStr">
        <is>
          <t>2023-06-21</t>
        </is>
      </c>
      <c r="C71" s="105" t="inlineStr">
        <is>
          <t>A</t>
        </is>
      </c>
      <c r="D71" s="105" t="inlineStr">
        <is>
          <t>5/3</t>
        </is>
      </c>
      <c r="E71"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2" hidden="1" outlineLevel="1" ht="75" customHeight="1">
      <c r="A72" s="107" t="inlineStr"/>
      <c r="B72" s="107" t="inlineStr">
        <is>
          <t>2023-05-26</t>
        </is>
      </c>
      <c r="C72" s="107" t="inlineStr">
        <is>
          <t>B</t>
        </is>
      </c>
      <c r="D72" s="107" t="inlineStr">
        <is>
          <t>5/5</t>
        </is>
      </c>
      <c r="E72"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3" hidden="1" outlineLevel="1" ht="60" customHeight="1">
      <c r="A73" s="105" t="inlineStr"/>
      <c r="B73" s="105" t="inlineStr">
        <is>
          <t>2023-05-09</t>
        </is>
      </c>
      <c r="C73" s="105" t="inlineStr">
        <is>
          <t>Not sure yet</t>
        </is>
      </c>
      <c r="D73" s="105" t="inlineStr">
        <is>
          <t>5/3</t>
        </is>
      </c>
      <c r="E73"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4" hidden="1" outlineLevel="1" ht="90" customHeight="1">
      <c r="A74" s="107" t="inlineStr"/>
      <c r="B74" s="107" t="inlineStr">
        <is>
          <t>2023-05-06</t>
        </is>
      </c>
      <c r="C74" s="107" t="inlineStr">
        <is>
          <t>-</t>
        </is>
      </c>
      <c r="D74" s="107" t="inlineStr">
        <is>
          <t>5/4</t>
        </is>
      </c>
      <c r="E74"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5" hidden="1" outlineLevel="1" ht="75" customHeight="1">
      <c r="A75" s="105" t="inlineStr"/>
      <c r="B75" s="105" t="inlineStr">
        <is>
          <t>2023-04-26</t>
        </is>
      </c>
      <c r="C75" s="105" t="inlineStr">
        <is>
          <t>A</t>
        </is>
      </c>
      <c r="D75" s="105" t="inlineStr">
        <is>
          <t>5/2</t>
        </is>
      </c>
      <c r="E75"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76" hidden="1" outlineLevel="1" ht="75" customHeight="1">
      <c r="A76" s="107" t="inlineStr"/>
      <c r="B76" s="107" t="inlineStr">
        <is>
          <t>2023-04-26</t>
        </is>
      </c>
      <c r="C76" s="107" t="inlineStr">
        <is>
          <t>A</t>
        </is>
      </c>
      <c r="D76" s="107" t="inlineStr">
        <is>
          <t>5/3</t>
        </is>
      </c>
      <c r="E76"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77" hidden="1" outlineLevel="1" ht="75" customHeight="1">
      <c r="A77" s="105" t="inlineStr"/>
      <c r="B77" s="105" t="inlineStr">
        <is>
          <t>2023-04-06</t>
        </is>
      </c>
      <c r="C77" s="105" t="inlineStr">
        <is>
          <t>-</t>
        </is>
      </c>
      <c r="D77" s="105" t="inlineStr">
        <is>
          <t>5/3</t>
        </is>
      </c>
      <c r="E77"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78" hidden="1" outlineLevel="1" ht="60" customHeight="1">
      <c r="A78" s="107" t="inlineStr"/>
      <c r="B78" s="107" t="inlineStr">
        <is>
          <t>2023-04-06</t>
        </is>
      </c>
      <c r="C78" s="107" t="inlineStr">
        <is>
          <t>A</t>
        </is>
      </c>
      <c r="D78" s="107" t="inlineStr">
        <is>
          <t>5/4</t>
        </is>
      </c>
      <c r="E78" s="11" t="inlineStr">
        <is>
          <t>Thought he was going to be hard since he was new, but ended up being one of the most chill professors I've had. Makes homework harder than the exams, but uses examples similar to slides. Keeps lectures entertaining. [Amazing lectures, Caring]</t>
        </is>
      </c>
    </row>
    <row r="79" hidden="1" outlineLevel="1" ht="75" customHeight="1">
      <c r="A79" s="105" t="inlineStr"/>
      <c r="B79" s="105" t="inlineStr">
        <is>
          <t>2023-04-05</t>
        </is>
      </c>
      <c r="C79" s="105" t="inlineStr">
        <is>
          <t>Incomplete</t>
        </is>
      </c>
      <c r="D79" s="105" t="inlineStr">
        <is>
          <t>5/5</t>
        </is>
      </c>
      <c r="E79"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0" hidden="1" outlineLevel="1"/>
    <row r="81" hidden="1" outlineLevel="1">
      <c r="A81" s="91" t="inlineStr">
        <is>
          <t>RMP data as of 2026-08-21. Source: ratemyprofessors.com. Avg reviewer grade = mean of self-reported letter grades (4.0 scale); not all reviewers report a grade.</t>
        </is>
      </c>
    </row>
    <row r="83" ht="28" customHeight="1">
      <c r="A83" s="4" t="inlineStr">
        <is>
          <t>Connect prep (e.g. BUAD-304 Personal Assessments) is ungraded class prep - not part of Participation or other graded categories.</t>
        </is>
      </c>
    </row>
    <row r="84" ht="32" customHeight="1">
      <c r="A84" s="5" t="inlineStr">
        <is>
          <t>Start here (graded): 2026-09-04 - ECON-351 - Homework: Homework 1 (Chapter 4) — Brightspace, due 11:59 pm</t>
        </is>
      </c>
    </row>
    <row r="86">
      <c r="A86" s="6" t="inlineStr">
        <is>
          <t>Class</t>
        </is>
      </c>
      <c r="B86" s="6" t="inlineStr">
        <is>
          <t>Reading</t>
        </is>
      </c>
      <c r="C86" s="6" t="inlineStr">
        <is>
          <t>Homework</t>
        </is>
      </c>
      <c r="D86" s="6" t="inlineStr">
        <is>
          <t>Papers</t>
        </is>
      </c>
      <c r="E86" s="6" t="inlineStr">
        <is>
          <t>Group Project</t>
        </is>
      </c>
      <c r="F86" s="6" t="inlineStr">
        <is>
          <t>External certs</t>
        </is>
      </c>
      <c r="G86" s="6" t="inlineStr">
        <is>
          <t>Connect prep</t>
        </is>
      </c>
      <c r="H86" s="6" t="inlineStr">
        <is>
          <t>First assignment</t>
        </is>
      </c>
      <c r="I86" s="6" t="inlineStr">
        <is>
          <t>Assign due</t>
        </is>
      </c>
      <c r="J86" s="6" t="inlineStr">
        <is>
          <t>First major</t>
        </is>
      </c>
      <c r="K86" s="6" t="inlineStr">
        <is>
          <t>Major due</t>
        </is>
      </c>
    </row>
    <row r="87">
      <c r="A87" s="7">
        <f>HYPERLINK("#'BUAD-281'!A1","BUAD-281")</f>
        <v/>
      </c>
      <c r="B87" s="8" t="inlineStr">
        <is>
          <t>Yes</t>
        </is>
      </c>
      <c r="C87" s="8" t="inlineStr">
        <is>
          <t>Yes</t>
        </is>
      </c>
      <c r="D87" s="8" t="inlineStr">
        <is>
          <t>-</t>
        </is>
      </c>
      <c r="E87" s="8" t="inlineStr">
        <is>
          <t>-</t>
        </is>
      </c>
      <c r="F87" s="9" t="inlineStr">
        <is>
          <t>LinkedIn Learning Excel Certification, Stukent Simternship</t>
        </is>
      </c>
      <c r="G87" s="8" t="inlineStr">
        <is>
          <t>-</t>
        </is>
      </c>
      <c r="H87" s="8" t="inlineStr">
        <is>
          <t>Class 5 (9/9) - 2-29, 2-30, 2-40; 15 Points</t>
        </is>
      </c>
      <c r="I87" s="8" t="inlineStr">
        <is>
          <t>2026-09-09</t>
        </is>
      </c>
      <c r="J87" s="8" t="inlineStr">
        <is>
          <t>Midterm 1</t>
        </is>
      </c>
      <c r="K87" s="8" t="inlineStr">
        <is>
          <t>2026-09-30</t>
        </is>
      </c>
    </row>
    <row r="88">
      <c r="A88" s="10">
        <f>HYPERLINK("#'BUAD-304'!A1","BUAD-304")</f>
        <v/>
      </c>
      <c r="B88" s="11" t="inlineStr">
        <is>
          <t>-</t>
        </is>
      </c>
      <c r="C88" s="11" t="inlineStr">
        <is>
          <t>Yes</t>
        </is>
      </c>
      <c r="D88" s="11" t="inlineStr">
        <is>
          <t>Final Reflection Paper, Team Project Paper</t>
        </is>
      </c>
      <c r="E88" s="11" t="inlineStr">
        <is>
          <t>Yes</t>
        </is>
      </c>
      <c r="F88" s="11" t="inlineStr">
        <is>
          <t>-</t>
        </is>
      </c>
      <c r="G88" s="12" t="inlineStr">
        <is>
          <t>Ungraded prep</t>
        </is>
      </c>
      <c r="H88" s="11" t="inlineStr">
        <is>
          <t>Connect: Self-Assessment 3.01 - What is my Big thinking</t>
        </is>
      </c>
      <c r="I88" s="11" t="inlineStr">
        <is>
          <t>2026-08-31</t>
        </is>
      </c>
      <c r="J88" s="11" t="inlineStr">
        <is>
          <t>Thomas Green Case Analysis Memo</t>
        </is>
      </c>
      <c r="K88" s="11" t="inlineStr">
        <is>
          <t>2026-09-16</t>
        </is>
      </c>
    </row>
    <row r="89">
      <c r="A89" s="7">
        <f>HYPERLINK("#'ECON-351'!A1","ECON-351")</f>
        <v/>
      </c>
      <c r="B89" s="8" t="inlineStr">
        <is>
          <t>Yes</t>
        </is>
      </c>
      <c r="C89" s="8" t="inlineStr">
        <is>
          <t>Yes</t>
        </is>
      </c>
      <c r="D89" s="8" t="inlineStr">
        <is>
          <t>-</t>
        </is>
      </c>
      <c r="E89" s="8" t="inlineStr">
        <is>
          <t>-</t>
        </is>
      </c>
      <c r="F89" s="8" t="inlineStr">
        <is>
          <t>-</t>
        </is>
      </c>
      <c r="G89" s="8" t="inlineStr">
        <is>
          <t>-</t>
        </is>
      </c>
      <c r="H89" s="8" t="inlineStr">
        <is>
          <t>Homework 1 (Chapter 4) — Brightspace, due 11:59 pm</t>
        </is>
      </c>
      <c r="I89" s="8" t="inlineStr">
        <is>
          <t>2026-09-04</t>
        </is>
      </c>
      <c r="J89" s="8" t="inlineStr">
        <is>
          <t>First midterm exam</t>
        </is>
      </c>
      <c r="K89" s="8" t="inlineStr">
        <is>
          <t>2026-09-14</t>
        </is>
      </c>
    </row>
    <row r="90">
      <c r="A90" s="10">
        <f>HYPERLINK("#'HIST-103'!A1","HIST-103")</f>
        <v/>
      </c>
      <c r="B90" s="11" t="inlineStr">
        <is>
          <t>Yes</t>
        </is>
      </c>
      <c r="C90" s="11" t="inlineStr">
        <is>
          <t>-</t>
        </is>
      </c>
      <c r="D90" s="11" t="inlineStr">
        <is>
          <t>Sleep Paper, Witchcraft Paper</t>
        </is>
      </c>
      <c r="E90" s="11" t="inlineStr">
        <is>
          <t>Yes</t>
        </is>
      </c>
      <c r="F90" s="11" t="inlineStr">
        <is>
          <t>-</t>
        </is>
      </c>
      <c r="G90" s="11" t="inlineStr">
        <is>
          <t>-</t>
        </is>
      </c>
      <c r="H90" s="11" t="inlineStr">
        <is>
          <t>Sleep Paper Due</t>
        </is>
      </c>
      <c r="I90" s="11" t="inlineStr">
        <is>
          <t>2026-09-15</t>
        </is>
      </c>
      <c r="J90" s="11" t="inlineStr">
        <is>
          <t>Sleep Paper</t>
        </is>
      </c>
      <c r="K90" s="11" t="inlineStr">
        <is>
          <t>2026-09-15</t>
        </is>
      </c>
    </row>
    <row r="92">
      <c r="A92" s="13" t="inlineStr">
        <is>
          <t>Do First - August 2026 - graded assignments (first per class always listed)</t>
        </is>
      </c>
    </row>
    <row r="93">
      <c r="A93" s="14" t="inlineStr">
        <is>
          <t>Due</t>
        </is>
      </c>
      <c r="B93" s="14" t="inlineStr">
        <is>
          <t>Class</t>
        </is>
      </c>
      <c r="C93" s="14" t="inlineStr">
        <is>
          <t>Type</t>
        </is>
      </c>
      <c r="D93" s="14" t="inlineStr">
        <is>
          <t>Graded?</t>
        </is>
      </c>
      <c r="E93" s="14" t="inlineStr">
        <is>
          <t>Item</t>
        </is>
      </c>
    </row>
    <row r="94">
      <c r="A94" s="8" t="inlineStr">
        <is>
          <t>2026-09-04</t>
        </is>
      </c>
      <c r="B94" s="8" t="inlineStr">
        <is>
          <t>ECON-351</t>
        </is>
      </c>
      <c r="C94" s="15" t="inlineStr">
        <is>
          <t>Homework</t>
        </is>
      </c>
      <c r="D94" s="8" t="inlineStr">
        <is>
          <t>Yes</t>
        </is>
      </c>
      <c r="E94" s="8" t="inlineStr">
        <is>
          <t>Homework 1 (Chapter 4) — Brightspace, due 11:59 pm</t>
        </is>
      </c>
    </row>
    <row r="95">
      <c r="A95" s="11" t="inlineStr">
        <is>
          <t>2026-09-09</t>
        </is>
      </c>
      <c r="B95" s="11" t="inlineStr">
        <is>
          <t>BUAD-281</t>
        </is>
      </c>
      <c r="C95" s="46" t="inlineStr">
        <is>
          <t>Homework</t>
        </is>
      </c>
      <c r="D95" s="11" t="inlineStr">
        <is>
          <t>Yes</t>
        </is>
      </c>
      <c r="E95" s="11" t="inlineStr">
        <is>
          <t>Class 5 (9/9) - 2-29, 2-30, 2-40; 15 Points</t>
        </is>
      </c>
    </row>
    <row r="96">
      <c r="A96" s="8" t="inlineStr">
        <is>
          <t>2026-09-15</t>
        </is>
      </c>
      <c r="B96" s="8" t="inlineStr">
        <is>
          <t>HIST-103</t>
        </is>
      </c>
      <c r="C96" s="25" t="inlineStr">
        <is>
          <t>Assignment</t>
        </is>
      </c>
      <c r="D96" s="8" t="inlineStr">
        <is>
          <t>Yes</t>
        </is>
      </c>
      <c r="E96" s="8" t="inlineStr">
        <is>
          <t>Sleep Paper Due</t>
        </is>
      </c>
    </row>
    <row r="98">
      <c r="A98" s="17" t="inlineStr">
        <is>
          <t>Do First - August 2026 - Connect prep only (ungraded, not Participation)</t>
        </is>
      </c>
    </row>
    <row r="99">
      <c r="A99" s="18" t="inlineStr">
        <is>
          <t>Due</t>
        </is>
      </c>
      <c r="B99" s="18" t="inlineStr">
        <is>
          <t>Class</t>
        </is>
      </c>
      <c r="C99" s="18" t="inlineStr">
        <is>
          <t>Type</t>
        </is>
      </c>
      <c r="D99" s="18" t="inlineStr">
        <is>
          <t>Graded?</t>
        </is>
      </c>
      <c r="E99" s="18" t="inlineStr">
        <is>
          <t>Item</t>
        </is>
      </c>
    </row>
    <row r="100">
      <c r="A100" s="19" t="inlineStr">
        <is>
          <t>2026-08-31</t>
        </is>
      </c>
      <c r="B100" s="19" t="inlineStr">
        <is>
          <t>BUAD-304</t>
        </is>
      </c>
      <c r="C100" s="20" t="inlineStr">
        <is>
          <t>Homework</t>
        </is>
      </c>
      <c r="D100" s="21" t="inlineStr">
        <is>
          <t>No</t>
        </is>
      </c>
      <c r="E100" s="19" t="inlineStr">
        <is>
          <t>Connect: Self-Assessment 3.01 - What is my Big thinking about your topics and</t>
        </is>
      </c>
    </row>
    <row r="101">
      <c r="A101" s="22" t="inlineStr">
        <is>
          <t>2026-08-31</t>
        </is>
      </c>
      <c r="B101" s="22" t="inlineStr">
        <is>
          <t>BUAD-304</t>
        </is>
      </c>
      <c r="C101" s="23" t="inlineStr">
        <is>
          <t>Homework</t>
        </is>
      </c>
      <c r="D101" s="24" t="inlineStr">
        <is>
          <t>No</t>
        </is>
      </c>
      <c r="E101" s="22" t="inlineStr">
        <is>
          <t>Connect: Self-Assessment 3.04 - What Is Your Level</t>
        </is>
      </c>
    </row>
    <row r="103">
      <c r="A103" s="13" t="inlineStr">
        <is>
          <t>Upcoming graded assignments (next 45 days)</t>
        </is>
      </c>
    </row>
    <row r="104">
      <c r="A104" s="14" t="inlineStr">
        <is>
          <t>Due</t>
        </is>
      </c>
      <c r="B104" s="14" t="inlineStr">
        <is>
          <t>Class</t>
        </is>
      </c>
      <c r="C104" s="14" t="inlineStr">
        <is>
          <t>Type</t>
        </is>
      </c>
      <c r="D104" s="14" t="inlineStr">
        <is>
          <t>Graded?</t>
        </is>
      </c>
      <c r="E104" s="14" t="inlineStr">
        <is>
          <t>Item</t>
        </is>
      </c>
    </row>
    <row r="105">
      <c r="A105" s="8" t="inlineStr">
        <is>
          <t>2026-09-04</t>
        </is>
      </c>
      <c r="B105" s="8" t="inlineStr">
        <is>
          <t>ECON-351</t>
        </is>
      </c>
      <c r="C105" s="15" t="inlineStr">
        <is>
          <t>Homework</t>
        </is>
      </c>
      <c r="D105" s="8" t="inlineStr">
        <is>
          <t>Yes</t>
        </is>
      </c>
      <c r="E105" s="8" t="inlineStr">
        <is>
          <t>Homework 1 (Chapter 4) — Brightspace, due 11:59 pm</t>
        </is>
      </c>
    </row>
    <row r="106">
      <c r="A106" s="11" t="inlineStr">
        <is>
          <t>2026-09-09</t>
        </is>
      </c>
      <c r="B106" s="11" t="inlineStr">
        <is>
          <t>BUAD-281</t>
        </is>
      </c>
      <c r="C106" s="46" t="inlineStr">
        <is>
          <t>Homework</t>
        </is>
      </c>
      <c r="D106" s="11" t="inlineStr">
        <is>
          <t>Yes</t>
        </is>
      </c>
      <c r="E106" s="11" t="inlineStr">
        <is>
          <t>Class 5 (9/9) - 2-29, 2-30, 2-40; 15 Points</t>
        </is>
      </c>
    </row>
    <row r="107">
      <c r="A107" s="8" t="inlineStr">
        <is>
          <t>2026-09-11</t>
        </is>
      </c>
      <c r="B107" s="8" t="inlineStr">
        <is>
          <t>ECON-351</t>
        </is>
      </c>
      <c r="C107" s="15" t="inlineStr">
        <is>
          <t>Homework</t>
        </is>
      </c>
      <c r="D107" s="8" t="inlineStr">
        <is>
          <t>Yes</t>
        </is>
      </c>
      <c r="E107" s="8" t="inlineStr">
        <is>
          <t>Homework 2 (Chapter 9) — Brightspace, due 11:59 pm</t>
        </is>
      </c>
    </row>
    <row r="108">
      <c r="A108" s="11" t="inlineStr">
        <is>
          <t>2026-09-14</t>
        </is>
      </c>
      <c r="B108" s="11" t="inlineStr">
        <is>
          <t>ECON-351</t>
        </is>
      </c>
      <c r="C108" s="120" t="inlineStr">
        <is>
          <t>Exam</t>
        </is>
      </c>
      <c r="D108" s="11" t="inlineStr">
        <is>
          <t>Yes</t>
        </is>
      </c>
      <c r="E108" s="11" t="inlineStr">
        <is>
          <t>Midterm 1 — covers Chapters 4 and 9</t>
        </is>
      </c>
    </row>
    <row r="109">
      <c r="A109" s="8" t="inlineStr">
        <is>
          <t>2026-09-14</t>
        </is>
      </c>
      <c r="B109" s="8" t="inlineStr">
        <is>
          <t>ECON-351</t>
        </is>
      </c>
      <c r="C109" s="25" t="inlineStr">
        <is>
          <t>Assignment</t>
        </is>
      </c>
      <c r="D109" s="8" t="inlineStr">
        <is>
          <t>Yes</t>
        </is>
      </c>
      <c r="E109" s="8" t="inlineStr">
        <is>
          <t>First midterm exam</t>
        </is>
      </c>
    </row>
    <row r="110">
      <c r="A110" s="11" t="inlineStr">
        <is>
          <t>2026-09-15</t>
        </is>
      </c>
      <c r="B110" s="11" t="inlineStr">
        <is>
          <t>HIST-103</t>
        </is>
      </c>
      <c r="C110" s="16" t="inlineStr">
        <is>
          <t>Assignment</t>
        </is>
      </c>
      <c r="D110" s="11" t="inlineStr">
        <is>
          <t>Yes</t>
        </is>
      </c>
      <c r="E110" s="11" t="inlineStr">
        <is>
          <t>Sleep Paper Due</t>
        </is>
      </c>
    </row>
    <row r="111">
      <c r="A111" s="8" t="inlineStr">
        <is>
          <t>2026-09-15</t>
        </is>
      </c>
      <c r="B111" s="8" t="inlineStr">
        <is>
          <t>HIST-103</t>
        </is>
      </c>
      <c r="C111" s="25" t="inlineStr">
        <is>
          <t>Assignment</t>
        </is>
      </c>
      <c r="D111" s="8" t="inlineStr">
        <is>
          <t>Yes</t>
        </is>
      </c>
      <c r="E111" s="8" t="inlineStr">
        <is>
          <t>Sleep Paper</t>
        </is>
      </c>
    </row>
    <row r="112">
      <c r="A112" s="11" t="inlineStr">
        <is>
          <t>2026-09-16</t>
        </is>
      </c>
      <c r="B112" s="11" t="inlineStr">
        <is>
          <t>BUAD-281</t>
        </is>
      </c>
      <c r="C112" s="46" t="inlineStr">
        <is>
          <t>Homework</t>
        </is>
      </c>
      <c r="D112" s="11" t="inlineStr">
        <is>
          <t>Yes</t>
        </is>
      </c>
      <c r="E112" s="11" t="inlineStr">
        <is>
          <t>Class 7 (9/16) - 3-24, 3-28, 3-32; 15 Points</t>
        </is>
      </c>
    </row>
    <row r="113">
      <c r="A113" s="8" t="inlineStr">
        <is>
          <t>2026-09-16</t>
        </is>
      </c>
      <c r="B113" s="8" t="inlineStr">
        <is>
          <t>BUAD-304</t>
        </is>
      </c>
      <c r="C113" s="25" t="inlineStr">
        <is>
          <t>Assignment</t>
        </is>
      </c>
      <c r="D113" s="8" t="inlineStr">
        <is>
          <t>Yes</t>
        </is>
      </c>
      <c r="E113" s="8" t="inlineStr">
        <is>
          <t>Thomas Green Case Analysis Memo</t>
        </is>
      </c>
    </row>
    <row r="114">
      <c r="A114" s="11" t="inlineStr">
        <is>
          <t>2026-09-17</t>
        </is>
      </c>
      <c r="B114" s="11" t="inlineStr">
        <is>
          <t>HIST-103</t>
        </is>
      </c>
      <c r="C114" s="16" t="inlineStr">
        <is>
          <t>Assignment</t>
        </is>
      </c>
      <c r="D114" s="11" t="inlineStr">
        <is>
          <t>Yes</t>
        </is>
      </c>
      <c r="E114" s="11" t="inlineStr">
        <is>
          <t>Final Exam</t>
        </is>
      </c>
    </row>
    <row r="115">
      <c r="A115" s="8" t="inlineStr">
        <is>
          <t>2026-09-18</t>
        </is>
      </c>
      <c r="B115" s="8" t="inlineStr">
        <is>
          <t>ECON-351</t>
        </is>
      </c>
      <c r="C115" s="15" t="inlineStr">
        <is>
          <t>Homework</t>
        </is>
      </c>
      <c r="D115" s="8" t="inlineStr">
        <is>
          <t>Yes</t>
        </is>
      </c>
      <c r="E115" s="8" t="inlineStr">
        <is>
          <t>Homework 3 — Brightspace, due 11:59 pm</t>
        </is>
      </c>
    </row>
    <row r="116">
      <c r="A116" s="11" t="inlineStr">
        <is>
          <t>2026-09-21</t>
        </is>
      </c>
      <c r="B116" s="11" t="inlineStr">
        <is>
          <t>BUAD-281</t>
        </is>
      </c>
      <c r="C116" s="46" t="inlineStr">
        <is>
          <t>Homework</t>
        </is>
      </c>
      <c r="D116" s="11" t="inlineStr">
        <is>
          <t>Yes</t>
        </is>
      </c>
      <c r="E116" s="11" t="inlineStr">
        <is>
          <t>Class 8 (9/21) - 5-27 5-46; 10 Points</t>
        </is>
      </c>
    </row>
    <row r="117">
      <c r="A117" s="8" t="inlineStr">
        <is>
          <t>2026-09-23</t>
        </is>
      </c>
      <c r="B117" s="8" t="inlineStr">
        <is>
          <t>BUAD-281</t>
        </is>
      </c>
      <c r="C117" s="15" t="inlineStr">
        <is>
          <t>Homework</t>
        </is>
      </c>
      <c r="D117" s="8" t="inlineStr">
        <is>
          <t>Yes</t>
        </is>
      </c>
      <c r="E117" s="8" t="inlineStr">
        <is>
          <t>Class 9 (9/23) - 4-21, 4-22; 10 Points</t>
        </is>
      </c>
    </row>
    <row r="118">
      <c r="A118" s="11" t="inlineStr">
        <is>
          <t>2026-09-25</t>
        </is>
      </c>
      <c r="B118" s="11" t="inlineStr">
        <is>
          <t>ECON-351</t>
        </is>
      </c>
      <c r="C118" s="46" t="inlineStr">
        <is>
          <t>Homework</t>
        </is>
      </c>
      <c r="D118" s="11" t="inlineStr">
        <is>
          <t>Yes</t>
        </is>
      </c>
      <c r="E118" s="11" t="inlineStr">
        <is>
          <t>Homework 4 (Chapter 3) — Brightspace, due 11:59 pm</t>
        </is>
      </c>
    </row>
    <row r="119">
      <c r="A119" s="8" t="inlineStr">
        <is>
          <t>2026-09-25</t>
        </is>
      </c>
      <c r="B119" s="8" t="inlineStr">
        <is>
          <t>BUAD-304</t>
        </is>
      </c>
      <c r="C119" s="26" t="inlineStr">
        <is>
          <t>Research</t>
        </is>
      </c>
      <c r="D119" s="8" t="inlineStr">
        <is>
          <t>Yes</t>
        </is>
      </c>
      <c r="E119" s="8" t="inlineStr">
        <is>
          <t>Research: Setup deadline (registration, prescreening, contacts)</t>
        </is>
      </c>
    </row>
    <row r="120">
      <c r="A120" s="11" t="inlineStr">
        <is>
          <t>2026-09-28</t>
        </is>
      </c>
      <c r="B120" s="11" t="inlineStr">
        <is>
          <t>BUAD-281</t>
        </is>
      </c>
      <c r="C120" s="46" t="inlineStr">
        <is>
          <t>Homework</t>
        </is>
      </c>
      <c r="D120" s="11" t="inlineStr">
        <is>
          <t>Yes</t>
        </is>
      </c>
      <c r="E120" s="11" t="inlineStr">
        <is>
          <t>Class 10 (9/28) - 8-28, 8-29; 10 Points</t>
        </is>
      </c>
    </row>
    <row r="121">
      <c r="A121" s="8" t="inlineStr">
        <is>
          <t>2026-09-28</t>
        </is>
      </c>
      <c r="B121" s="8" t="inlineStr">
        <is>
          <t>BUAD-304</t>
        </is>
      </c>
      <c r="C121" s="25" t="inlineStr">
        <is>
          <t>Assignment</t>
        </is>
      </c>
      <c r="D121" s="8" t="inlineStr">
        <is>
          <t>Yes</t>
        </is>
      </c>
      <c r="E121" s="8" t="inlineStr">
        <is>
          <t>Team project proposal &amp; team contract</t>
        </is>
      </c>
    </row>
    <row r="122">
      <c r="A122" s="11" t="inlineStr">
        <is>
          <t>2026-09-28</t>
        </is>
      </c>
      <c r="B122" s="11" t="inlineStr">
        <is>
          <t>BUAD-304</t>
        </is>
      </c>
      <c r="C122" s="16" t="inlineStr">
        <is>
          <t>Assignment</t>
        </is>
      </c>
      <c r="D122" s="11" t="inlineStr">
        <is>
          <t>Yes</t>
        </is>
      </c>
      <c r="E122" s="11" t="inlineStr">
        <is>
          <t>Proposal &amp; Team Contract</t>
        </is>
      </c>
    </row>
    <row r="123">
      <c r="A123" s="8" t="inlineStr">
        <is>
          <t>2026-09-30</t>
        </is>
      </c>
      <c r="B123" s="8" t="inlineStr">
        <is>
          <t>BUAD-281</t>
        </is>
      </c>
      <c r="C123" s="47" t="inlineStr">
        <is>
          <t>Exam</t>
        </is>
      </c>
      <c r="D123" s="8" t="inlineStr">
        <is>
          <t>Yes</t>
        </is>
      </c>
      <c r="E123" s="8" t="inlineStr">
        <is>
          <t>9/30 Midterm 1: 250 Points Chapters 1, 2, 3, 4, 5, 8</t>
        </is>
      </c>
    </row>
    <row r="124">
      <c r="A124" s="11" t="inlineStr">
        <is>
          <t>2026-09-30</t>
        </is>
      </c>
      <c r="B124" s="11" t="inlineStr">
        <is>
          <t>BUAD-281</t>
        </is>
      </c>
      <c r="C124" s="16" t="inlineStr">
        <is>
          <t>Assignment</t>
        </is>
      </c>
      <c r="D124" s="11" t="inlineStr">
        <is>
          <t>Yes</t>
        </is>
      </c>
      <c r="E124" s="11" t="inlineStr">
        <is>
          <t>Midterm 1</t>
        </is>
      </c>
    </row>
    <row r="125">
      <c r="A125" s="8" t="inlineStr">
        <is>
          <t>2026-10-02</t>
        </is>
      </c>
      <c r="B125" s="8" t="inlineStr">
        <is>
          <t>ECON-351</t>
        </is>
      </c>
      <c r="C125" s="15" t="inlineStr">
        <is>
          <t>Homework</t>
        </is>
      </c>
      <c r="D125" s="8" t="inlineStr">
        <is>
          <t>Yes</t>
        </is>
      </c>
      <c r="E125" s="8" t="inlineStr">
        <is>
          <t>Homework 5 (Chapter 5) — Brightspace, due 11:59 pm</t>
        </is>
      </c>
    </row>
    <row r="126">
      <c r="A126" s="11" t="inlineStr">
        <is>
          <t>2026-10-02</t>
        </is>
      </c>
      <c r="B126" s="11" t="inlineStr">
        <is>
          <t>ECON-351</t>
        </is>
      </c>
      <c r="C126" s="16" t="inlineStr">
        <is>
          <t>Assignment</t>
        </is>
      </c>
      <c r="D126" s="11" t="inlineStr">
        <is>
          <t>Yes</t>
        </is>
      </c>
      <c r="E126" s="11" t="inlineStr">
        <is>
          <t>AI Forecast Project — Part I</t>
        </is>
      </c>
    </row>
  </sheetData>
  <mergeCells count="77">
    <mergeCell ref="E36:K36"/>
    <mergeCell ref="E75:K75"/>
    <mergeCell ref="E22:K22"/>
    <mergeCell ref="E53:K53"/>
    <mergeCell ref="E55:K55"/>
    <mergeCell ref="E67:K67"/>
    <mergeCell ref="E39:K39"/>
    <mergeCell ref="E48:K48"/>
    <mergeCell ref="A2:K2"/>
    <mergeCell ref="E29:K29"/>
    <mergeCell ref="E38:K38"/>
    <mergeCell ref="A17:K17"/>
    <mergeCell ref="E31:K31"/>
    <mergeCell ref="E40:K40"/>
    <mergeCell ref="C14:K14"/>
    <mergeCell ref="E26:K26"/>
    <mergeCell ref="A11:K11"/>
    <mergeCell ref="A98:K98"/>
    <mergeCell ref="E76:K76"/>
    <mergeCell ref="E25:K25"/>
    <mergeCell ref="E66:K66"/>
    <mergeCell ref="E58:K58"/>
    <mergeCell ref="E50:K50"/>
    <mergeCell ref="E68:K68"/>
    <mergeCell ref="E42:K42"/>
    <mergeCell ref="E52:K52"/>
    <mergeCell ref="E44:K44"/>
    <mergeCell ref="E20:K20"/>
    <mergeCell ref="E69:K69"/>
    <mergeCell ref="E78:K78"/>
    <mergeCell ref="E30:K30"/>
    <mergeCell ref="E59:K59"/>
    <mergeCell ref="E77:K77"/>
    <mergeCell ref="E46:K46"/>
    <mergeCell ref="A83:K83"/>
    <mergeCell ref="E61:K61"/>
    <mergeCell ref="A92:K92"/>
    <mergeCell ref="E70:K70"/>
    <mergeCell ref="E57:K57"/>
    <mergeCell ref="E54:K54"/>
    <mergeCell ref="E32:K32"/>
    <mergeCell ref="E72:K72"/>
    <mergeCell ref="A1:K1"/>
    <mergeCell ref="C12:K12"/>
    <mergeCell ref="E41:K41"/>
    <mergeCell ref="A103:K103"/>
    <mergeCell ref="E47:K47"/>
    <mergeCell ref="E56:K56"/>
    <mergeCell ref="E43:K43"/>
    <mergeCell ref="E24:K24"/>
    <mergeCell ref="E33:K33"/>
    <mergeCell ref="E35:K35"/>
    <mergeCell ref="E19:K19"/>
    <mergeCell ref="E28:K28"/>
    <mergeCell ref="A4:K4"/>
    <mergeCell ref="E60:K60"/>
    <mergeCell ref="E74:K74"/>
    <mergeCell ref="E45:K45"/>
    <mergeCell ref="E37:K37"/>
    <mergeCell ref="E21:K21"/>
    <mergeCell ref="A84:K84"/>
    <mergeCell ref="E62:K62"/>
    <mergeCell ref="E71:K71"/>
    <mergeCell ref="E23:K23"/>
    <mergeCell ref="A3:K3"/>
    <mergeCell ref="E64:K64"/>
    <mergeCell ref="E79:K79"/>
    <mergeCell ref="C13:K13"/>
    <mergeCell ref="E73:K73"/>
    <mergeCell ref="E51:K51"/>
    <mergeCell ref="E63:K63"/>
    <mergeCell ref="C15:K15"/>
    <mergeCell ref="E65:K65"/>
    <mergeCell ref="A81:K81"/>
    <mergeCell ref="E34:K34"/>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6" t="inlineStr">
        <is>
          <t>20%</t>
        </is>
      </c>
      <c r="C10" s="147" t="inlineStr"/>
      <c r="D10" s="147" t="inlineStr">
        <is>
          <t>2026-09-14</t>
        </is>
      </c>
      <c r="E10" s="147" t="inlineStr">
        <is>
          <t>No</t>
        </is>
      </c>
      <c r="F10" s="127">
        <f>HYPERLINK("https://raw.githubusercontent.com/vengeanceaiUSC/Syllabus-/cursor/add-syllabus-dissector-skill-a676/output/documents/econ-351-first-midterm-exam.pdf","Open PDF")</f>
        <v/>
      </c>
    </row>
    <row r="11">
      <c r="A11" s="128" t="inlineStr">
        <is>
          <t>Exam</t>
        </is>
      </c>
      <c r="B11" s="148" t="inlineStr"/>
      <c r="C11" s="148" t="inlineStr"/>
      <c r="D11" s="148" t="inlineStr">
        <is>
          <t>2026-09-14</t>
        </is>
      </c>
      <c r="E11" s="148" t="inlineStr"/>
      <c r="F11" s="130" t="inlineStr">
        <is>
          <t>Midterm 1 — covers Chapters 4 and 9</t>
        </is>
      </c>
    </row>
    <row r="12">
      <c r="A12" s="131" t="inlineStr">
        <is>
          <t>Second midterm exam</t>
        </is>
      </c>
      <c r="B12" s="146" t="inlineStr">
        <is>
          <t>20%</t>
        </is>
      </c>
      <c r="C12" s="149" t="inlineStr"/>
      <c r="D12" s="149" t="inlineStr">
        <is>
          <t>2026-10-12</t>
        </is>
      </c>
      <c r="E12" s="149" t="inlineStr">
        <is>
          <t>No</t>
        </is>
      </c>
      <c r="F12" s="133">
        <f>HYPERLINK("https://raw.githubusercontent.com/vengeanceaiUSC/Syllabus-/cursor/add-syllabus-dissector-skill-a676/output/documents/econ-351-second-midterm-exam.pdf","Open PDF")</f>
        <v/>
      </c>
    </row>
    <row r="13">
      <c r="A13" s="128" t="inlineStr">
        <is>
          <t>Exam</t>
        </is>
      </c>
      <c r="B13" s="148" t="inlineStr"/>
      <c r="C13" s="148" t="inlineStr"/>
      <c r="D13" s="148" t="inlineStr">
        <is>
          <t>2026-10-12</t>
        </is>
      </c>
      <c r="E13" s="148" t="inlineStr"/>
      <c r="F13" s="130" t="inlineStr">
        <is>
          <t>Midterm 2 — covers Chapters 3, 5, and 6</t>
        </is>
      </c>
    </row>
    <row r="14">
      <c r="A14" s="124" t="inlineStr">
        <is>
          <t>Third midterm exam</t>
        </is>
      </c>
      <c r="B14" s="146" t="inlineStr">
        <is>
          <t>20%</t>
        </is>
      </c>
      <c r="C14" s="147" t="inlineStr"/>
      <c r="D14" s="147" t="inlineStr">
        <is>
          <t>2026-11-04</t>
        </is>
      </c>
      <c r="E14" s="147" t="inlineStr">
        <is>
          <t>No</t>
        </is>
      </c>
      <c r="F14" s="127">
        <f>HYPERLINK("https://raw.githubusercontent.com/vengeanceaiUSC/Syllabus-/cursor/add-syllabus-dissector-skill-a676/output/documents/econ-351-third-midterm-exam.pdf","Open PDF")</f>
        <v/>
      </c>
    </row>
    <row r="15">
      <c r="A15" s="128" t="inlineStr">
        <is>
          <t>Exam</t>
        </is>
      </c>
      <c r="B15" s="148" t="inlineStr"/>
      <c r="C15" s="148" t="inlineStr"/>
      <c r="D15" s="148" t="inlineStr">
        <is>
          <t>2026-11-04</t>
        </is>
      </c>
      <c r="E15" s="148" t="inlineStr"/>
      <c r="F15" s="130" t="inlineStr">
        <is>
          <t>Midterm 3 — covers Chapters 7, 8, and 10</t>
        </is>
      </c>
    </row>
    <row r="16">
      <c r="A16" s="131" t="inlineStr">
        <is>
          <t>Fourth midterm exam</t>
        </is>
      </c>
      <c r="B16" s="146" t="inlineStr">
        <is>
          <t>20%</t>
        </is>
      </c>
      <c r="C16" s="149" t="inlineStr"/>
      <c r="D16" s="149" t="inlineStr">
        <is>
          <t>2026-12-02</t>
        </is>
      </c>
      <c r="E16" s="149" t="inlineStr">
        <is>
          <t>No</t>
        </is>
      </c>
      <c r="F16" s="133">
        <f>HYPERLINK("https://raw.githubusercontent.com/vengeanceaiUSC/Syllabus-/cursor/add-syllabus-dissector-skill-a676/output/documents/econ-351-fourth-midterm-exam.pdf","Open PDF")</f>
        <v/>
      </c>
    </row>
    <row r="17">
      <c r="A17" s="128" t="inlineStr">
        <is>
          <t>Exam</t>
        </is>
      </c>
      <c r="B17" s="148" t="inlineStr"/>
      <c r="C17" s="148" t="inlineStr"/>
      <c r="D17" s="148" t="inlineStr">
        <is>
          <t>2026-12-02</t>
        </is>
      </c>
      <c r="E17" s="148" t="inlineStr"/>
      <c r="F17" s="130" t="inlineStr">
        <is>
          <t>Midterm 4 — covers Chapters 11, 12, and 13</t>
        </is>
      </c>
    </row>
    <row r="18">
      <c r="A18" s="124" t="inlineStr">
        <is>
          <t>AI Forecast Project</t>
        </is>
      </c>
      <c r="B18" s="146" t="inlineStr">
        <is>
          <t>10%</t>
        </is>
      </c>
      <c r="C18" s="147" t="inlineStr"/>
      <c r="D18" s="147" t="inlineStr">
        <is>
          <t>2026-12-11</t>
        </is>
      </c>
      <c r="E18" s="147" t="inlineStr">
        <is>
          <t>No</t>
        </is>
      </c>
      <c r="F18" s="127">
        <f>HYPERLINK("https://raw.githubusercontent.com/vengeanceaiUSC/Syllabus-/cursor/add-syllabus-dissector-skill-a676/output/documents/econ-351-ai-forecast-project.pdf","Open PDF")</f>
        <v/>
      </c>
    </row>
    <row r="19">
      <c r="A19" s="134" t="inlineStr">
        <is>
          <t>Assignment</t>
        </is>
      </c>
      <c r="B19" s="148" t="inlineStr"/>
      <c r="C19" s="148" t="inlineStr"/>
      <c r="D19" s="148" t="inlineStr">
        <is>
          <t>2026-10-02</t>
        </is>
      </c>
      <c r="E19" s="148" t="inlineStr"/>
      <c r="F19" s="130" t="inlineStr">
        <is>
          <t>AI Forecast Project — Part I</t>
        </is>
      </c>
    </row>
    <row r="20">
      <c r="A20" s="134" t="inlineStr">
        <is>
          <t>Assignment</t>
        </is>
      </c>
      <c r="B20" s="148" t="inlineStr"/>
      <c r="C20" s="148" t="inlineStr"/>
      <c r="D20" s="148" t="inlineStr">
        <is>
          <t>2026-12-11</t>
        </is>
      </c>
      <c r="E20" s="148" t="inlineStr"/>
      <c r="F20" s="130" t="inlineStr">
        <is>
          <t>AI Forecast Project — Part II</t>
        </is>
      </c>
    </row>
    <row r="21">
      <c r="A21" s="131" t="inlineStr">
        <is>
          <t>Homework</t>
        </is>
      </c>
      <c r="B21" s="146" t="inlineStr">
        <is>
          <t>10%</t>
        </is>
      </c>
      <c r="C21" s="149" t="inlineStr"/>
      <c r="D21" s="149" t="inlineStr">
        <is>
          <t>2026-11-27</t>
        </is>
      </c>
      <c r="E21" s="149" t="inlineStr">
        <is>
          <t>No</t>
        </is>
      </c>
      <c r="F21" s="133">
        <f>HYPERLINK("https://raw.githubusercontent.com/vengeanceaiUSC/Syllabus-/cursor/add-syllabus-dissector-skill-a676/output/documents/econ-351-homework.pdf","Open PDF")</f>
        <v/>
      </c>
    </row>
    <row r="22">
      <c r="A22" s="135" t="inlineStr">
        <is>
          <t>Reading</t>
        </is>
      </c>
      <c r="B22" s="148" t="inlineStr"/>
      <c r="C22" s="148" t="inlineStr"/>
      <c r="D22" s="148" t="inlineStr"/>
      <c r="E22" s="148" t="inlineStr"/>
      <c r="F22" s="130" t="inlineStr">
        <is>
          <t>Finals Week: - AI Project – Part II due December 11</t>
        </is>
      </c>
    </row>
    <row r="23">
      <c r="A23" s="135" t="inlineStr">
        <is>
          <t>Reading</t>
        </is>
      </c>
      <c r="B23" s="148" t="inlineStr"/>
      <c r="C23" s="148" t="inlineStr"/>
      <c r="D23" s="148" t="inlineStr">
        <is>
          <t>2026-08-24</t>
        </is>
      </c>
      <c r="E23" s="148" t="inlineStr"/>
      <c r="F23" s="130" t="inlineStr">
        <is>
          <t>Week 1: Aug.24/26 - Complete the math self-assessment on Brightspace</t>
        </is>
      </c>
    </row>
    <row r="24">
      <c r="A24" s="135" t="inlineStr">
        <is>
          <t>Reading</t>
        </is>
      </c>
      <c r="B24" s="148" t="inlineStr"/>
      <c r="C24" s="148" t="inlineStr"/>
      <c r="D24" s="148" t="inlineStr">
        <is>
          <t>2026-08-24</t>
        </is>
      </c>
      <c r="E24" s="148" t="inlineStr"/>
      <c r="F24" s="130" t="inlineStr">
        <is>
          <t>Week 1: Aug.24/26 - Read Chapters 2 and 4</t>
        </is>
      </c>
    </row>
    <row r="25">
      <c r="A25" s="135" t="inlineStr">
        <is>
          <t>Reading</t>
        </is>
      </c>
      <c r="B25" s="148" t="inlineStr"/>
      <c r="C25" s="148" t="inlineStr"/>
      <c r="D25" s="148" t="inlineStr">
        <is>
          <t>2026-08-24</t>
        </is>
      </c>
      <c r="E25" s="148" t="inlineStr"/>
      <c r="F25" s="130" t="inlineStr">
        <is>
          <t>Week 1: Aug.24/26 - Read the syllabus</t>
        </is>
      </c>
    </row>
    <row r="26">
      <c r="A26" s="135" t="inlineStr">
        <is>
          <t>Reading</t>
        </is>
      </c>
      <c r="B26" s="148" t="inlineStr"/>
      <c r="C26" s="148" t="inlineStr"/>
      <c r="D26" s="148" t="inlineStr">
        <is>
          <t>2026-09-04</t>
        </is>
      </c>
      <c r="E26" s="148" t="inlineStr"/>
      <c r="F26" s="130" t="inlineStr">
        <is>
          <t>Week 2: Aug.31/Sep.2 - Begin Chapter 9: Uncertainty</t>
        </is>
      </c>
    </row>
    <row r="27">
      <c r="A27" s="135" t="inlineStr">
        <is>
          <t>Reading</t>
        </is>
      </c>
      <c r="B27" s="148" t="inlineStr"/>
      <c r="C27" s="148" t="inlineStr"/>
      <c r="D27" s="148" t="inlineStr">
        <is>
          <t>2026-09-04</t>
        </is>
      </c>
      <c r="E27" s="148" t="inlineStr"/>
      <c r="F27" s="130" t="inlineStr">
        <is>
          <t>Week 2: Aug.31/Sep.2 - Finish reading Chapter 4 (in-class dis- cussion)</t>
        </is>
      </c>
    </row>
    <row r="28">
      <c r="A28" s="136" t="inlineStr">
        <is>
          <t>Homework</t>
        </is>
      </c>
      <c r="B28" s="148" t="inlineStr"/>
      <c r="C28" s="148" t="inlineStr"/>
      <c r="D28" s="148" t="inlineStr">
        <is>
          <t>2026-09-04</t>
        </is>
      </c>
      <c r="E28" s="148" t="inlineStr"/>
      <c r="F28" s="130" t="inlineStr">
        <is>
          <t>Homework 1 (Chapter 4) — Brightspace, due 11:59 pm</t>
        </is>
      </c>
    </row>
    <row r="29">
      <c r="A29" s="135" t="inlineStr">
        <is>
          <t>Reading</t>
        </is>
      </c>
      <c r="B29" s="148" t="inlineStr"/>
      <c r="C29" s="148" t="inlineStr"/>
      <c r="D29" s="148" t="inlineStr">
        <is>
          <t>2026-09-11</t>
        </is>
      </c>
      <c r="E29" s="148" t="inlineStr"/>
      <c r="F29" s="130" t="inlineStr">
        <is>
          <t>Week 3: Sep.7/9 - Discussion of Chapter 9</t>
        </is>
      </c>
    </row>
    <row r="30">
      <c r="A30" s="135" t="inlineStr">
        <is>
          <t>Reading</t>
        </is>
      </c>
      <c r="B30" s="148" t="inlineStr"/>
      <c r="C30" s="148" t="inlineStr"/>
      <c r="D30" s="148" t="inlineStr">
        <is>
          <t>2026-09-11</t>
        </is>
      </c>
      <c r="E30" s="148" t="inlineStr"/>
      <c r="F30" s="130" t="inlineStr">
        <is>
          <t>Week 3: Sep.7/9 - No class Monday Sep.7 (Labor Day)</t>
        </is>
      </c>
    </row>
    <row r="31">
      <c r="A31" s="136" t="inlineStr">
        <is>
          <t>Homework</t>
        </is>
      </c>
      <c r="B31" s="148" t="inlineStr"/>
      <c r="C31" s="148" t="inlineStr"/>
      <c r="D31" s="148" t="inlineStr">
        <is>
          <t>2026-09-11</t>
        </is>
      </c>
      <c r="E31" s="148" t="inlineStr"/>
      <c r="F31" s="130" t="inlineStr">
        <is>
          <t>Homework 2 (Chapter 9) — Brightspace, due 11:59 pm</t>
        </is>
      </c>
    </row>
    <row r="32">
      <c r="A32" s="136" t="inlineStr">
        <is>
          <t>Homework</t>
        </is>
      </c>
      <c r="B32" s="148" t="inlineStr"/>
      <c r="C32" s="148" t="inlineStr"/>
      <c r="D32" s="148" t="inlineStr">
        <is>
          <t>2026-09-18</t>
        </is>
      </c>
      <c r="E32" s="148" t="inlineStr"/>
      <c r="F32" s="130" t="inlineStr">
        <is>
          <t>Homework 3 — Brightspace, due 11:59 pm</t>
        </is>
      </c>
    </row>
    <row r="33">
      <c r="A33" s="135" t="inlineStr">
        <is>
          <t>Reading</t>
        </is>
      </c>
      <c r="B33" s="148" t="inlineStr"/>
      <c r="C33" s="148" t="inlineStr"/>
      <c r="D33" s="148" t="inlineStr">
        <is>
          <t>2026-09-25</t>
        </is>
      </c>
      <c r="E33" s="148" t="inlineStr"/>
      <c r="F33" s="130" t="inlineStr">
        <is>
          <t>Week 5: Sep.21/23 - Complete the Chapter 3 - Part II home- work on Brightspace (due Sep.25)</t>
        </is>
      </c>
    </row>
    <row r="34">
      <c r="A34" s="135" t="inlineStr">
        <is>
          <t>Reading</t>
        </is>
      </c>
      <c r="B34" s="148" t="inlineStr"/>
      <c r="C34" s="148" t="inlineStr"/>
      <c r="D34" s="148" t="inlineStr">
        <is>
          <t>2026-09-25</t>
        </is>
      </c>
      <c r="E34" s="148" t="inlineStr"/>
      <c r="F34" s="130" t="inlineStr">
        <is>
          <t>Week 5: Sep.21/23 - Discussion of Chapter 3</t>
        </is>
      </c>
    </row>
    <row r="35">
      <c r="A35" s="135" t="inlineStr">
        <is>
          <t>Reading</t>
        </is>
      </c>
      <c r="B35" s="148" t="inlineStr"/>
      <c r="C35" s="148" t="inlineStr"/>
      <c r="D35" s="148" t="inlineStr">
        <is>
          <t>2026-09-25</t>
        </is>
      </c>
      <c r="E35" s="148" t="inlineStr"/>
      <c r="F35" s="130" t="inlineStr">
        <is>
          <t>Week 5: Sep.21/23 - Finish reading Chapter 3</t>
        </is>
      </c>
    </row>
    <row r="36">
      <c r="A36" s="136" t="inlineStr">
        <is>
          <t>Homework</t>
        </is>
      </c>
      <c r="B36" s="148" t="inlineStr"/>
      <c r="C36" s="148" t="inlineStr"/>
      <c r="D36" s="148" t="inlineStr">
        <is>
          <t>2026-09-25</t>
        </is>
      </c>
      <c r="E36" s="148" t="inlineStr"/>
      <c r="F36" s="130" t="inlineStr">
        <is>
          <t>Homework 4 (Chapter 3) — Brightspace, due 11:59 pm</t>
        </is>
      </c>
    </row>
    <row r="37">
      <c r="A37" s="135" t="inlineStr">
        <is>
          <t>Reading</t>
        </is>
      </c>
      <c r="B37" s="148" t="inlineStr"/>
      <c r="C37" s="148" t="inlineStr"/>
      <c r="D37" s="148" t="inlineStr">
        <is>
          <t>2026-10-02</t>
        </is>
      </c>
      <c r="E37" s="148" t="inlineStr"/>
      <c r="F37" s="130" t="inlineStr">
        <is>
          <t>Week 6: Sep.28/30 - AI Project – Part I due October 2</t>
        </is>
      </c>
    </row>
    <row r="38">
      <c r="A38" s="135" t="inlineStr">
        <is>
          <t>Reading</t>
        </is>
      </c>
      <c r="B38" s="148" t="inlineStr"/>
      <c r="C38" s="148" t="inlineStr"/>
      <c r="D38" s="148" t="inlineStr">
        <is>
          <t>2026-10-02</t>
        </is>
      </c>
      <c r="E38" s="148" t="inlineStr"/>
      <c r="F38" s="130" t="inlineStr">
        <is>
          <t>Week 6: Sep.28/30 - Discussion of Chapter 5</t>
        </is>
      </c>
    </row>
    <row r="39">
      <c r="A39" s="135" t="inlineStr">
        <is>
          <t>Reading</t>
        </is>
      </c>
      <c r="B39" s="148" t="inlineStr"/>
      <c r="C39" s="148" t="inlineStr"/>
      <c r="D39" s="148" t="inlineStr">
        <is>
          <t>2026-10-02</t>
        </is>
      </c>
      <c r="E39" s="148" t="inlineStr"/>
      <c r="F39" s="130" t="inlineStr">
        <is>
          <t>Week 6: Sep.28/30 - Read Chapter 5</t>
        </is>
      </c>
    </row>
    <row r="40">
      <c r="A40" s="136" t="inlineStr">
        <is>
          <t>Homework</t>
        </is>
      </c>
      <c r="B40" s="148" t="inlineStr"/>
      <c r="C40" s="148" t="inlineStr"/>
      <c r="D40" s="148" t="inlineStr">
        <is>
          <t>2026-10-02</t>
        </is>
      </c>
      <c r="E40" s="148" t="inlineStr"/>
      <c r="F40" s="130" t="inlineStr">
        <is>
          <t>Homework 5 (Chapter 5) — Brightspace, due 11:59 pm</t>
        </is>
      </c>
    </row>
    <row r="41">
      <c r="A41" s="135" t="inlineStr">
        <is>
          <t>Reading</t>
        </is>
      </c>
      <c r="B41" s="148" t="inlineStr"/>
      <c r="C41" s="148" t="inlineStr"/>
      <c r="D41" s="148" t="inlineStr">
        <is>
          <t>2026-10-09</t>
        </is>
      </c>
      <c r="E41" s="148" t="inlineStr"/>
      <c r="F41" s="130" t="inlineStr">
        <is>
          <t>Week 7: Oct.5/7 - Midterm review on Oct.7</t>
        </is>
      </c>
    </row>
    <row r="42">
      <c r="A42" s="135" t="inlineStr">
        <is>
          <t>Reading</t>
        </is>
      </c>
      <c r="B42" s="148" t="inlineStr"/>
      <c r="C42" s="148" t="inlineStr"/>
      <c r="D42" s="148" t="inlineStr">
        <is>
          <t>2026-10-09</t>
        </is>
      </c>
      <c r="E42" s="148" t="inlineStr"/>
      <c r="F42" s="130" t="inlineStr">
        <is>
          <t>Week 7: Oct.5/7 - Read Chapter 6</t>
        </is>
      </c>
    </row>
    <row r="43">
      <c r="A43" s="136" t="inlineStr">
        <is>
          <t>Homework</t>
        </is>
      </c>
      <c r="B43" s="148" t="inlineStr"/>
      <c r="C43" s="148" t="inlineStr"/>
      <c r="D43" s="148" t="inlineStr">
        <is>
          <t>2026-10-09</t>
        </is>
      </c>
      <c r="E43" s="148" t="inlineStr"/>
      <c r="F43" s="130" t="inlineStr">
        <is>
          <t>Homework 6 (Chapter 6) — Brightspace, due 11:59 pm</t>
        </is>
      </c>
    </row>
    <row r="44">
      <c r="A44" s="136" t="inlineStr">
        <is>
          <t>Homework</t>
        </is>
      </c>
      <c r="B44" s="148" t="inlineStr"/>
      <c r="C44" s="148" t="inlineStr"/>
      <c r="D44" s="148" t="inlineStr">
        <is>
          <t>2026-10-16</t>
        </is>
      </c>
      <c r="E44" s="148" t="inlineStr"/>
      <c r="F44" s="130" t="inlineStr">
        <is>
          <t>Homework 7 — Brightspace, due 11:59 pm</t>
        </is>
      </c>
    </row>
    <row r="45">
      <c r="A45" s="135" t="inlineStr">
        <is>
          <t>Reading</t>
        </is>
      </c>
      <c r="B45" s="148" t="inlineStr"/>
      <c r="C45" s="148" t="inlineStr"/>
      <c r="D45" s="148" t="inlineStr">
        <is>
          <t>2026-10-23</t>
        </is>
      </c>
      <c r="E45" s="148" t="inlineStr"/>
      <c r="F45" s="130" t="inlineStr">
        <is>
          <t>Week 9: Oct.19/21 - Read Chapter 8</t>
        </is>
      </c>
    </row>
    <row r="46">
      <c r="A46" s="136" t="inlineStr">
        <is>
          <t>Homework</t>
        </is>
      </c>
      <c r="B46" s="148" t="inlineStr"/>
      <c r="C46" s="148" t="inlineStr"/>
      <c r="D46" s="148" t="inlineStr">
        <is>
          <t>2026-10-23</t>
        </is>
      </c>
      <c r="E46" s="148" t="inlineStr"/>
      <c r="F46" s="130" t="inlineStr">
        <is>
          <t>Homework 8 (Chapter 8) — Brightspace, due 11:59 pm</t>
        </is>
      </c>
    </row>
    <row r="47">
      <c r="A47" s="135" t="inlineStr">
        <is>
          <t>Reading</t>
        </is>
      </c>
      <c r="B47" s="148" t="inlineStr"/>
      <c r="C47" s="148" t="inlineStr"/>
      <c r="D47" s="148" t="inlineStr">
        <is>
          <t>2026-10-30</t>
        </is>
      </c>
      <c r="E47" s="148" t="inlineStr"/>
      <c r="F47" s="130" t="inlineStr">
        <is>
          <t>Week 10: Oct.26/28 - Read Chapter 10</t>
        </is>
      </c>
    </row>
    <row r="48">
      <c r="A48" s="136" t="inlineStr">
        <is>
          <t>Homework</t>
        </is>
      </c>
      <c r="B48" s="148" t="inlineStr"/>
      <c r="C48" s="148" t="inlineStr"/>
      <c r="D48" s="148" t="inlineStr">
        <is>
          <t>2026-10-30</t>
        </is>
      </c>
      <c r="E48" s="148" t="inlineStr"/>
      <c r="F48" s="130" t="inlineStr">
        <is>
          <t>Homework 9 (Chapter 10) — Brightspace, due 11:59 pm</t>
        </is>
      </c>
    </row>
    <row r="49">
      <c r="A49" s="135" t="inlineStr">
        <is>
          <t>Reading</t>
        </is>
      </c>
      <c r="B49" s="148" t="inlineStr"/>
      <c r="C49" s="148" t="inlineStr"/>
      <c r="D49" s="148" t="inlineStr">
        <is>
          <t>2026-11-13</t>
        </is>
      </c>
      <c r="E49" s="148" t="inlineStr"/>
      <c r="F49" s="130" t="inlineStr">
        <is>
          <t>Week 12: Nov.9/11 - No class Wednesday Nov.11 (Veterans Day)</t>
        </is>
      </c>
    </row>
    <row r="50">
      <c r="A50" s="135" t="inlineStr">
        <is>
          <t>Reading</t>
        </is>
      </c>
      <c r="B50" s="148" t="inlineStr"/>
      <c r="C50" s="148" t="inlineStr"/>
      <c r="D50" s="148" t="inlineStr">
        <is>
          <t>2026-11-13</t>
        </is>
      </c>
      <c r="E50" s="148" t="inlineStr"/>
      <c r="F50" s="130" t="inlineStr">
        <is>
          <t>Week 12: Nov.9/11 - Read Chapter 11</t>
        </is>
      </c>
    </row>
    <row r="51">
      <c r="A51" s="136" t="inlineStr">
        <is>
          <t>Homework</t>
        </is>
      </c>
      <c r="B51" s="148" t="inlineStr"/>
      <c r="C51" s="148" t="inlineStr"/>
      <c r="D51" s="148" t="inlineStr">
        <is>
          <t>2026-11-13</t>
        </is>
      </c>
      <c r="E51" s="148" t="inlineStr"/>
      <c r="F51" s="130" t="inlineStr">
        <is>
          <t>Homework 10 (Chapter 11) — Brightspace, due 11:59 pm</t>
        </is>
      </c>
    </row>
    <row r="52">
      <c r="A52" s="135" t="inlineStr">
        <is>
          <t>Reading</t>
        </is>
      </c>
      <c r="B52" s="148" t="inlineStr"/>
      <c r="C52" s="148" t="inlineStr"/>
      <c r="D52" s="148" t="inlineStr">
        <is>
          <t>2026-11-20</t>
        </is>
      </c>
      <c r="E52" s="148" t="inlineStr"/>
      <c r="F52" s="130" t="inlineStr">
        <is>
          <t>Week 13: Nov.16/18 - Read Chapter 12</t>
        </is>
      </c>
    </row>
    <row r="53">
      <c r="A53" s="136" t="inlineStr">
        <is>
          <t>Homework</t>
        </is>
      </c>
      <c r="B53" s="148" t="inlineStr"/>
      <c r="C53" s="148" t="inlineStr"/>
      <c r="D53" s="148" t="inlineStr">
        <is>
          <t>2026-11-20</t>
        </is>
      </c>
      <c r="E53" s="148" t="inlineStr"/>
      <c r="F53" s="130" t="inlineStr">
        <is>
          <t>Homework 11 (Chapter 12) — Brightspace, due 11:59 pm</t>
        </is>
      </c>
    </row>
    <row r="54">
      <c r="A54" s="135" t="inlineStr">
        <is>
          <t>Reading</t>
        </is>
      </c>
      <c r="B54" s="148" t="inlineStr"/>
      <c r="C54" s="148" t="inlineStr"/>
      <c r="D54" s="148" t="inlineStr">
        <is>
          <t>2026-11-27</t>
        </is>
      </c>
      <c r="E54" s="148" t="inlineStr"/>
      <c r="F54" s="130" t="inlineStr">
        <is>
          <t>Week 14: Nov.23 - Complete the Chapter 12+13 home- work on Brightspace (due Nov.27)</t>
        </is>
      </c>
    </row>
    <row r="55">
      <c r="A55" s="135" t="inlineStr">
        <is>
          <t>Reading</t>
        </is>
      </c>
      <c r="B55" s="148" t="inlineStr"/>
      <c r="C55" s="148" t="inlineStr"/>
      <c r="D55" s="148" t="inlineStr">
        <is>
          <t>2026-11-27</t>
        </is>
      </c>
      <c r="E55" s="148" t="inlineStr"/>
      <c r="F55" s="130" t="inlineStr">
        <is>
          <t>Week 14: Nov.23 - No class Wednesday Nov.25 (Thanks- giving)</t>
        </is>
      </c>
    </row>
    <row r="56">
      <c r="A56" s="135" t="inlineStr">
        <is>
          <t>Reading</t>
        </is>
      </c>
      <c r="B56" s="148" t="inlineStr"/>
      <c r="C56" s="148" t="inlineStr"/>
      <c r="D56" s="148" t="inlineStr">
        <is>
          <t>2026-11-27</t>
        </is>
      </c>
      <c r="E56" s="148" t="inlineStr"/>
      <c r="F56" s="130" t="inlineStr">
        <is>
          <t>Week 14: Nov.23 - Read Chapter 13</t>
        </is>
      </c>
    </row>
    <row r="57">
      <c r="A57" s="136" t="inlineStr">
        <is>
          <t>Homework</t>
        </is>
      </c>
      <c r="B57" s="148" t="inlineStr"/>
      <c r="C57" s="148" t="inlineStr"/>
      <c r="D57" s="148" t="inlineStr">
        <is>
          <t>2026-11-27</t>
        </is>
      </c>
      <c r="E57" s="148" t="inlineStr"/>
      <c r="F57" s="130" t="inlineStr">
        <is>
          <t>Homework 12 (Chapter 13) — Brightspace, due 11:59 pm</t>
        </is>
      </c>
    </row>
    <row r="58">
      <c r="A58" s="124" t="inlineStr">
        <is>
          <t>Extra Credit</t>
        </is>
      </c>
      <c r="B58" s="146" t="inlineStr">
        <is>
          <t>—</t>
        </is>
      </c>
      <c r="C58" s="147" t="inlineStr"/>
      <c r="D58" s="147" t="inlineStr"/>
      <c r="E58" s="147"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F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158" t="inlineStr">
        <is>
          <t>25%</t>
        </is>
      </c>
      <c r="C11" s="159" t="inlineStr">
        <is>
          <t>2026-08-24</t>
        </is>
      </c>
      <c r="D11" s="159" t="inlineStr">
        <is>
          <t>2026-12-09</t>
        </is>
      </c>
      <c r="E11" s="159" t="inlineStr">
        <is>
          <t>No</t>
        </is>
      </c>
      <c r="F11" s="73">
        <f>HYPERLINK("https://raw.githubusercontent.com/vengeanceaiUSC/Syllabus-/cursor/add-syllabus-dissector-skill-a676/output/documents/buad-304-final-exam.pdf","Open PDF")</f>
        <v/>
      </c>
    </row>
    <row r="12">
      <c r="A12" s="74" t="inlineStr">
        <is>
          <t>Exam</t>
        </is>
      </c>
      <c r="B12" s="160" t="inlineStr"/>
      <c r="C12" s="160" t="inlineStr">
        <is>
          <t>2026-08-24</t>
        </is>
      </c>
      <c r="D12" s="160" t="inlineStr">
        <is>
          <t>2026-12-09</t>
        </is>
      </c>
      <c r="E12" s="160" t="inlineStr"/>
      <c r="F12" s="76" t="inlineStr">
        <is>
          <t>Final Exam</t>
        </is>
      </c>
    </row>
    <row r="13">
      <c r="A13" s="77" t="inlineStr">
        <is>
          <t>Participation</t>
        </is>
      </c>
      <c r="B13" s="158" t="inlineStr">
        <is>
          <t>15%</t>
        </is>
      </c>
      <c r="C13" s="161" t="inlineStr">
        <is>
          <t>2026-08-24</t>
        </is>
      </c>
      <c r="D13" s="161" t="inlineStr">
        <is>
          <t>2026-12-04</t>
        </is>
      </c>
      <c r="E13" s="161" t="inlineStr">
        <is>
          <t>No</t>
        </is>
      </c>
      <c r="F13" s="79">
        <f>HYPERLINK("https://raw.githubusercontent.com/vengeanceaiUSC/Syllabus-/cursor/add-syllabus-dissector-skill-a676/output/documents/buad-304-participation.pdf","Open PDF")</f>
        <v/>
      </c>
    </row>
    <row r="14">
      <c r="A14" s="80" t="inlineStr">
        <is>
          <t>Research</t>
        </is>
      </c>
      <c r="B14" s="160" t="inlineStr"/>
      <c r="C14" s="160" t="inlineStr">
        <is>
          <t>2026-08-24</t>
        </is>
      </c>
      <c r="D14" s="160" t="inlineStr"/>
      <c r="E14" s="160" t="inlineStr"/>
      <c r="F14" s="76" t="inlineStr">
        <is>
          <t>Research: SONA registration opens</t>
        </is>
      </c>
    </row>
    <row r="15">
      <c r="A15" s="80" t="inlineStr">
        <is>
          <t>Research</t>
        </is>
      </c>
      <c r="B15" s="160" t="inlineStr"/>
      <c r="C15" s="160" t="inlineStr">
        <is>
          <t>2026-09-11</t>
        </is>
      </c>
      <c r="D15" s="160" t="inlineStr"/>
      <c r="E15" s="160" t="inlineStr"/>
      <c r="F15" s="76" t="inlineStr">
        <is>
          <t>Research: Prescreening questionnaire opens</t>
        </is>
      </c>
    </row>
    <row r="16">
      <c r="A16" s="80" t="inlineStr">
        <is>
          <t>Research</t>
        </is>
      </c>
      <c r="B16" s="160" t="inlineStr"/>
      <c r="C16" s="160" t="inlineStr"/>
      <c r="D16" s="160" t="inlineStr">
        <is>
          <t>2026-09-25</t>
        </is>
      </c>
      <c r="E16" s="160" t="inlineStr"/>
      <c r="F16" s="76" t="inlineStr">
        <is>
          <t>Research: Setup deadline (registration, prescreening, contacts)</t>
        </is>
      </c>
    </row>
    <row r="17">
      <c r="A17" s="80" t="inlineStr">
        <is>
          <t>Research</t>
        </is>
      </c>
      <c r="B17" s="160" t="inlineStr"/>
      <c r="C17" s="160" t="inlineStr">
        <is>
          <t>2026-09-26</t>
        </is>
      </c>
      <c r="D17" s="160" t="inlineStr"/>
      <c r="E17" s="160" t="inlineStr"/>
      <c r="F17" s="76" t="inlineStr">
        <is>
          <t>Research: Study invitations begin (after setup)</t>
        </is>
      </c>
    </row>
    <row r="18">
      <c r="A18" s="80" t="inlineStr">
        <is>
          <t>Research</t>
        </is>
      </c>
      <c r="B18" s="160" t="inlineStr"/>
      <c r="C18" s="160" t="inlineStr"/>
      <c r="D18" s="160" t="inlineStr">
        <is>
          <t>2026-10-26</t>
        </is>
      </c>
      <c r="E18" s="160" t="inlineStr"/>
      <c r="F18" s="76" t="inlineStr">
        <is>
          <t>Research: Employee contact surveys sent</t>
        </is>
      </c>
    </row>
    <row r="19">
      <c r="A19" s="81" t="inlineStr">
        <is>
          <t>Assignment</t>
        </is>
      </c>
      <c r="B19" s="160" t="inlineStr">
        <is>
          <t>Not in syllabus (% of 15%)</t>
        </is>
      </c>
      <c r="C19" s="160" t="inlineStr">
        <is>
          <t>2026-08-24</t>
        </is>
      </c>
      <c r="D19" s="160" t="inlineStr">
        <is>
          <t>2026-12-04</t>
        </is>
      </c>
      <c r="E19" s="160" t="inlineStr"/>
      <c r="F19" s="76" t="inlineStr">
        <is>
          <t>Active Class Participation — attend MW sessions prepared; contribute to discussions and in-class activities (2 free abse</t>
        </is>
      </c>
    </row>
    <row r="20">
      <c r="A20" s="81" t="inlineStr">
        <is>
          <t>Assignment</t>
        </is>
      </c>
      <c r="B20" s="160" t="inlineStr">
        <is>
          <t>Not in syllabus (% of 15%)</t>
        </is>
      </c>
      <c r="C20" s="160" t="inlineStr">
        <is>
          <t>2026-09-07</t>
        </is>
      </c>
      <c r="D20" s="160" t="inlineStr">
        <is>
          <t>2026-12-04</t>
        </is>
      </c>
      <c r="E20" s="160" t="inlineStr"/>
      <c r="F20" s="76" t="inlineStr">
        <is>
          <t>Team Engagement — effective engagement with project team throughout semester</t>
        </is>
      </c>
    </row>
    <row r="21">
      <c r="A21" s="80" t="inlineStr">
        <is>
          <t>Research</t>
        </is>
      </c>
      <c r="B21" s="160" t="inlineStr">
        <is>
          <t>Not in syllabus (% of 15%)</t>
        </is>
      </c>
      <c r="C21" s="160" t="inlineStr">
        <is>
          <t>2026-08-24</t>
        </is>
      </c>
      <c r="D21" s="160" t="inlineStr">
        <is>
          <t>2026-12-04</t>
        </is>
      </c>
      <c r="E21" s="160" t="inlineStr"/>
      <c r="F21" s="76" t="inlineStr">
        <is>
          <t>Research Studies — complete 2.0 credits via SONA (register, setup, lab studies)</t>
        </is>
      </c>
    </row>
    <row r="22">
      <c r="A22" s="80" t="inlineStr">
        <is>
          <t>Research</t>
        </is>
      </c>
      <c r="B22" s="160" t="inlineStr"/>
      <c r="C22" s="160" t="inlineStr"/>
      <c r="D22" s="160" t="inlineStr">
        <is>
          <t>2026-12-04</t>
        </is>
      </c>
      <c r="E22" s="160" t="inlineStr"/>
      <c r="F22" s="76" t="inlineStr">
        <is>
          <t>Research: Complete 2.0 research credits</t>
        </is>
      </c>
    </row>
    <row r="23">
      <c r="A23" s="70" t="inlineStr">
        <is>
          <t>Midterm Exam</t>
        </is>
      </c>
      <c r="B23" s="158" t="inlineStr">
        <is>
          <t>15%</t>
        </is>
      </c>
      <c r="C23" s="159" t="inlineStr">
        <is>
          <t>2026-08-24</t>
        </is>
      </c>
      <c r="D23" s="159" t="inlineStr">
        <is>
          <t>2026-10-14</t>
        </is>
      </c>
      <c r="E23" s="159" t="inlineStr">
        <is>
          <t>No</t>
        </is>
      </c>
      <c r="F23" s="73">
        <f>HYPERLINK("https://raw.githubusercontent.com/vengeanceaiUSC/Syllabus-/cursor/add-syllabus-dissector-skill-a676/output/documents/buad-304-midterm-exam.pdf","Open PDF")</f>
        <v/>
      </c>
    </row>
    <row r="24">
      <c r="A24" s="74" t="inlineStr">
        <is>
          <t>Exam</t>
        </is>
      </c>
      <c r="B24" s="160" t="inlineStr"/>
      <c r="C24" s="160" t="inlineStr">
        <is>
          <t>2026-08-24</t>
        </is>
      </c>
      <c r="D24" s="160" t="inlineStr">
        <is>
          <t>2026-10-14</t>
        </is>
      </c>
      <c r="E24" s="160" t="inlineStr"/>
      <c r="F24" s="76" t="inlineStr">
        <is>
          <t>Midterm Exam</t>
        </is>
      </c>
    </row>
    <row r="25">
      <c r="A25" s="77" t="inlineStr">
        <is>
          <t>Team Project Paper</t>
        </is>
      </c>
      <c r="B25" s="158" t="inlineStr">
        <is>
          <t>15%</t>
        </is>
      </c>
      <c r="C25" s="161" t="inlineStr">
        <is>
          <t>2026-08-31</t>
        </is>
      </c>
      <c r="D25" s="161" t="inlineStr">
        <is>
          <t>2026-11-09</t>
        </is>
      </c>
      <c r="E25" s="161" t="inlineStr">
        <is>
          <t>Yes</t>
        </is>
      </c>
      <c r="F25" s="79">
        <f>HYPERLINK("https://raw.githubusercontent.com/vengeanceaiUSC/Syllabus-/cursor/add-syllabus-dissector-skill-a676/output/documents/buad-304-team-project-paper.pdf","Open PDF")</f>
        <v/>
      </c>
    </row>
    <row r="26">
      <c r="A26" s="81" t="inlineStr">
        <is>
          <t>Assignment</t>
        </is>
      </c>
      <c r="B26" s="160" t="inlineStr"/>
      <c r="C26" s="160" t="inlineStr">
        <is>
          <t>2026-08-31</t>
        </is>
      </c>
      <c r="D26" s="160" t="inlineStr">
        <is>
          <t>2026-10-19</t>
        </is>
      </c>
      <c r="E26" s="160" t="inlineStr"/>
      <c r="F26" s="76" t="inlineStr">
        <is>
          <t>Team project outline</t>
        </is>
      </c>
    </row>
    <row r="27">
      <c r="A27" s="81" t="inlineStr">
        <is>
          <t>Assignment</t>
        </is>
      </c>
      <c r="B27" s="160" t="inlineStr"/>
      <c r="C27" s="160" t="inlineStr">
        <is>
          <t>2026-08-31</t>
        </is>
      </c>
      <c r="D27" s="160" t="inlineStr">
        <is>
          <t>2026-11-09</t>
        </is>
      </c>
      <c r="E27" s="160" t="inlineStr"/>
      <c r="F27" s="76" t="inlineStr">
        <is>
          <t>Team project paper</t>
        </is>
      </c>
    </row>
    <row r="28">
      <c r="A28" s="70" t="inlineStr">
        <is>
          <t>Final Reflection Paper</t>
        </is>
      </c>
      <c r="B28" s="158" t="inlineStr">
        <is>
          <t>10%</t>
        </is>
      </c>
      <c r="C28" s="159" t="inlineStr">
        <is>
          <t>2026-08-31</t>
        </is>
      </c>
      <c r="D28" s="159" t="inlineStr">
        <is>
          <t>2026-12-02</t>
        </is>
      </c>
      <c r="E28" s="159" t="inlineStr">
        <is>
          <t>No</t>
        </is>
      </c>
      <c r="F28" s="73">
        <f>HYPERLINK("https://raw.githubusercontent.com/vengeanceaiUSC/Syllabus-/cursor/add-syllabus-dissector-skill-a676/output/documents/buad-304-final-reflection-paper.pdf","Open PDF")</f>
        <v/>
      </c>
    </row>
    <row r="29">
      <c r="A29" s="81" t="inlineStr">
        <is>
          <t>Assignment</t>
        </is>
      </c>
      <c r="B29" s="160" t="inlineStr"/>
      <c r="C29" s="160" t="inlineStr">
        <is>
          <t>2026-08-31</t>
        </is>
      </c>
      <c r="D29" s="160" t="inlineStr">
        <is>
          <t>2026-12-02</t>
        </is>
      </c>
      <c r="E29" s="160" t="inlineStr"/>
      <c r="F29" s="76" t="inlineStr">
        <is>
          <t>Personal Reflection Paper</t>
        </is>
      </c>
    </row>
    <row r="30">
      <c r="A30" s="77" t="inlineStr">
        <is>
          <t>Presentation</t>
        </is>
      </c>
      <c r="B30" s="158" t="inlineStr">
        <is>
          <t>10%</t>
        </is>
      </c>
      <c r="C30" s="161" t="inlineStr">
        <is>
          <t>2026-08-31</t>
        </is>
      </c>
      <c r="D30" s="161" t="inlineStr">
        <is>
          <t>2026-11-09</t>
        </is>
      </c>
      <c r="E30" s="161" t="inlineStr">
        <is>
          <t>Yes</t>
        </is>
      </c>
      <c r="F30" s="79">
        <f>HYPERLINK("https://raw.githubusercontent.com/vengeanceaiUSC/Syllabus-/cursor/add-syllabus-dissector-skill-a676/output/documents/buad-304-presentation.pdf","Open PDF")</f>
        <v/>
      </c>
    </row>
    <row r="31">
      <c r="A31" s="81" t="inlineStr">
        <is>
          <t>Assignment</t>
        </is>
      </c>
      <c r="B31" s="160" t="inlineStr"/>
      <c r="C31" s="160" t="inlineStr">
        <is>
          <t>2026-08-31</t>
        </is>
      </c>
      <c r="D31" s="160" t="inlineStr">
        <is>
          <t>2026-11-09</t>
        </is>
      </c>
      <c r="E31" s="160" t="inlineStr"/>
      <c r="F31" s="76" t="inlineStr">
        <is>
          <t>Presentation slides</t>
        </is>
      </c>
    </row>
    <row r="32">
      <c r="A32" s="70" t="inlineStr">
        <is>
          <t>Case Analysis Assignments</t>
        </is>
      </c>
      <c r="B32" s="158" t="inlineStr">
        <is>
          <t>5%</t>
        </is>
      </c>
      <c r="C32" s="159" t="inlineStr">
        <is>
          <t>2026-08-26</t>
        </is>
      </c>
      <c r="D32" s="159" t="inlineStr">
        <is>
          <t>2026-10-21</t>
        </is>
      </c>
      <c r="E32" s="159" t="inlineStr">
        <is>
          <t>No</t>
        </is>
      </c>
      <c r="F32" s="73">
        <f>HYPERLINK("https://raw.githubusercontent.com/vengeanceaiUSC/Syllabus-/cursor/add-syllabus-dissector-skill-a676/output/documents/buad-304-case-analysis-assignments.pdf","Open PDF")</f>
        <v/>
      </c>
    </row>
    <row r="33">
      <c r="A33" s="81" t="inlineStr">
        <is>
          <t>Assignment</t>
        </is>
      </c>
      <c r="B33" s="160" t="inlineStr"/>
      <c r="C33" s="160" t="inlineStr">
        <is>
          <t>2026-08-26</t>
        </is>
      </c>
      <c r="D33" s="160" t="inlineStr">
        <is>
          <t>2026-09-16</t>
        </is>
      </c>
      <c r="E33" s="160" t="inlineStr"/>
      <c r="F33" s="76" t="inlineStr">
        <is>
          <t>Thomas Green Case Analysis Memo</t>
        </is>
      </c>
    </row>
    <row r="34">
      <c r="A34" s="81" t="inlineStr">
        <is>
          <t>Assignment</t>
        </is>
      </c>
      <c r="B34" s="160" t="inlineStr"/>
      <c r="C34" s="160" t="inlineStr">
        <is>
          <t>2026-08-26</t>
        </is>
      </c>
      <c r="D34" s="160" t="inlineStr">
        <is>
          <t>2026-10-21</t>
        </is>
      </c>
      <c r="E34" s="160" t="inlineStr"/>
      <c r="F34" s="76" t="inlineStr">
        <is>
          <t>SkillsForTomorrow Analysis Memo</t>
        </is>
      </c>
    </row>
    <row r="35">
      <c r="A35" s="77" t="inlineStr">
        <is>
          <t>Proposal &amp; Team Contract</t>
        </is>
      </c>
      <c r="B35" s="158" t="inlineStr">
        <is>
          <t>3%</t>
        </is>
      </c>
      <c r="C35" s="161" t="inlineStr">
        <is>
          <t>2026-08-31</t>
        </is>
      </c>
      <c r="D35" s="161" t="inlineStr">
        <is>
          <t>2026-09-28</t>
        </is>
      </c>
      <c r="E35" s="161" t="inlineStr">
        <is>
          <t>Yes</t>
        </is>
      </c>
      <c r="F35" s="79">
        <f>HYPERLINK("https://raw.githubusercontent.com/vengeanceaiUSC/Syllabus-/cursor/add-syllabus-dissector-skill-a676/output/documents/buad-304-proposal-team-contract.pdf","Open PDF")</f>
        <v/>
      </c>
    </row>
    <row r="36">
      <c r="A36" s="81" t="inlineStr">
        <is>
          <t>Assignment</t>
        </is>
      </c>
      <c r="B36" s="160" t="inlineStr"/>
      <c r="C36" s="160" t="inlineStr">
        <is>
          <t>2026-08-31</t>
        </is>
      </c>
      <c r="D36" s="160" t="inlineStr">
        <is>
          <t>2026-09-28</t>
        </is>
      </c>
      <c r="E36" s="160" t="inlineStr"/>
      <c r="F36" s="76" t="inlineStr">
        <is>
          <t>Team project proposal &amp; team contract</t>
        </is>
      </c>
    </row>
    <row r="37">
      <c r="A37" s="70" t="inlineStr">
        <is>
          <t>Self &amp; Peer Evaluation</t>
        </is>
      </c>
      <c r="B37" s="158" t="inlineStr">
        <is>
          <t>2%</t>
        </is>
      </c>
      <c r="C37" s="159" t="inlineStr">
        <is>
          <t>2026-08-31</t>
        </is>
      </c>
      <c r="D37" s="159" t="inlineStr">
        <is>
          <t>2026-11-18</t>
        </is>
      </c>
      <c r="E37" s="159" t="inlineStr">
        <is>
          <t>Yes</t>
        </is>
      </c>
      <c r="F37" s="73">
        <f>HYPERLINK("https://raw.githubusercontent.com/vengeanceaiUSC/Syllabus-/cursor/add-syllabus-dissector-skill-a676/output/documents/buad-304-self-peer-evaluation.pdf","Open PDF")</f>
        <v/>
      </c>
    </row>
    <row r="38">
      <c r="A38" s="81" t="inlineStr">
        <is>
          <t>Assignment</t>
        </is>
      </c>
      <c r="B38" s="160" t="inlineStr"/>
      <c r="C38" s="160" t="inlineStr">
        <is>
          <t>2026-08-31</t>
        </is>
      </c>
      <c r="D38" s="160" t="inlineStr">
        <is>
          <t>2026-11-18</t>
        </is>
      </c>
      <c r="E38" s="160" t="inlineStr"/>
      <c r="F38" s="76" t="inlineStr">
        <is>
          <t>Self &amp; peer evaluation</t>
        </is>
      </c>
    </row>
    <row r="39">
      <c r="A39" s="77" t="inlineStr">
        <is>
          <t>Personal Assessments (Connect)</t>
        </is>
      </c>
      <c r="B39" s="158" t="inlineStr">
        <is>
          <t>—</t>
        </is>
      </c>
      <c r="C39" s="161" t="inlineStr"/>
      <c r="D39" s="161" t="inlineStr">
        <is>
          <t>2026-12-20</t>
        </is>
      </c>
      <c r="E39" s="161" t="inlineStr">
        <is>
          <t>No</t>
        </is>
      </c>
      <c r="F39" s="79">
        <f>HYPERLINK("https://raw.githubusercontent.com/vengeanceaiUSC/Syllabus-/cursor/add-syllabus-dissector-skill-a676/output/documents/buad-304-personal-assessments-connect.pdf","Open PDF")</f>
        <v/>
      </c>
    </row>
    <row r="40">
      <c r="A40" s="82" t="inlineStr">
        <is>
          <t>Homework</t>
        </is>
      </c>
      <c r="B40" s="160" t="inlineStr"/>
      <c r="C40" s="160" t="inlineStr"/>
      <c r="D40" s="160" t="inlineStr">
        <is>
          <t>2026-08-31</t>
        </is>
      </c>
      <c r="E40" s="160" t="inlineStr"/>
      <c r="F40" s="76" t="inlineStr">
        <is>
          <t>Connect: Self-Assessment 3.01 - What is my Big thinking about your topics and</t>
        </is>
      </c>
    </row>
    <row r="41">
      <c r="A41" s="82" t="inlineStr">
        <is>
          <t>Homework</t>
        </is>
      </c>
      <c r="B41" s="160" t="inlineStr"/>
      <c r="C41" s="160" t="inlineStr"/>
      <c r="D41" s="160" t="inlineStr">
        <is>
          <t>2026-08-31</t>
        </is>
      </c>
      <c r="E41" s="160" t="inlineStr"/>
      <c r="F41" s="76" t="inlineStr">
        <is>
          <t>Connect: Self-Assessment 3.04 - What Is Your Level</t>
        </is>
      </c>
    </row>
    <row r="42">
      <c r="A42" s="82" t="inlineStr">
        <is>
          <t>Homework</t>
        </is>
      </c>
      <c r="B42" s="160" t="inlineStr"/>
      <c r="C42" s="160" t="inlineStr"/>
      <c r="D42" s="160" t="inlineStr">
        <is>
          <t>2026-09-02</t>
        </is>
      </c>
      <c r="E42" s="160" t="inlineStr"/>
      <c r="F42" s="76" t="inlineStr">
        <is>
          <t>Connect: Self-Assessment 5.01 - Assessing Your</t>
        </is>
      </c>
    </row>
    <row r="43">
      <c r="A43" s="82" t="inlineStr">
        <is>
          <t>Homework</t>
        </is>
      </c>
      <c r="B43" s="160" t="inlineStr"/>
      <c r="C43" s="160" t="inlineStr"/>
      <c r="D43" s="160" t="inlineStr">
        <is>
          <t>2026-09-04</t>
        </is>
      </c>
      <c r="E43" s="160" t="inlineStr"/>
      <c r="F43" s="76" t="inlineStr">
        <is>
          <t>Connect: Sharpen Companion</t>
        </is>
      </c>
    </row>
    <row r="44">
      <c r="A44" s="82" t="inlineStr">
        <is>
          <t>Homework</t>
        </is>
      </c>
      <c r="B44" s="160" t="inlineStr"/>
      <c r="C44" s="160" t="inlineStr"/>
      <c r="D44" s="160" t="inlineStr">
        <is>
          <t>2026-09-09</t>
        </is>
      </c>
      <c r="E44" s="160" t="inlineStr"/>
      <c r="F44" s="76" t="inlineStr">
        <is>
          <t>Connect: Self-Assessment 11.01 - What is my</t>
        </is>
      </c>
    </row>
    <row r="45">
      <c r="A45" s="82" t="inlineStr">
        <is>
          <t>Homework</t>
        </is>
      </c>
      <c r="B45" s="160" t="inlineStr"/>
      <c r="C45" s="160" t="inlineStr"/>
      <c r="D45" s="160" t="inlineStr">
        <is>
          <t>2026-09-09</t>
        </is>
      </c>
      <c r="E45" s="160" t="inlineStr"/>
      <c r="F45" s="76" t="inlineStr">
        <is>
          <t>Connect: Self-Assessment 11.02 - What is my</t>
        </is>
      </c>
    </row>
    <row r="46">
      <c r="A46" s="82" t="inlineStr">
        <is>
          <t>Homework</t>
        </is>
      </c>
      <c r="B46" s="160" t="inlineStr"/>
      <c r="C46" s="160" t="inlineStr"/>
      <c r="D46" s="160" t="inlineStr">
        <is>
          <t>2026-09-16</t>
        </is>
      </c>
      <c r="E46" s="160" t="inlineStr"/>
      <c r="F46" s="76" t="inlineStr">
        <is>
          <t>Connect: Self-Assessment 12.01 - What kind of</t>
        </is>
      </c>
    </row>
    <row r="47">
      <c r="A47" s="82" t="inlineStr">
        <is>
          <t>Homework</t>
        </is>
      </c>
      <c r="B47" s="160" t="inlineStr"/>
      <c r="C47" s="160" t="inlineStr"/>
      <c r="D47" s="160" t="inlineStr">
        <is>
          <t>2026-09-28</t>
        </is>
      </c>
      <c r="E47" s="160" t="inlineStr"/>
      <c r="F47" s="76" t="inlineStr">
        <is>
          <t>Connect: Self-Assessment 10.5 - Preferred Conflict</t>
        </is>
      </c>
    </row>
    <row r="48">
      <c r="A48" s="82" t="inlineStr">
        <is>
          <t>Homework</t>
        </is>
      </c>
      <c r="B48" s="160" t="inlineStr"/>
      <c r="C48" s="160" t="inlineStr"/>
      <c r="D48" s="160" t="inlineStr">
        <is>
          <t>2026-09-28</t>
        </is>
      </c>
      <c r="E48" s="160" t="inlineStr"/>
      <c r="F48" s="76" t="inlineStr">
        <is>
          <t>Connect: Self-Assessment 9.01 - Assessing My</t>
        </is>
      </c>
    </row>
    <row r="49">
      <c r="A49" s="82" t="inlineStr">
        <is>
          <t>Homework</t>
        </is>
      </c>
      <c r="B49" s="160" t="inlineStr"/>
      <c r="C49" s="160" t="inlineStr"/>
      <c r="D49" s="160" t="inlineStr">
        <is>
          <t>2026-10-19</t>
        </is>
      </c>
      <c r="E49" s="160" t="inlineStr"/>
      <c r="F49" s="76" t="inlineStr">
        <is>
          <t>Connect: Self-Assessment 8.01 - Group</t>
        </is>
      </c>
    </row>
    <row r="50">
      <c r="A50" s="82" t="inlineStr">
        <is>
          <t>Homework</t>
        </is>
      </c>
      <c r="B50" s="160" t="inlineStr"/>
      <c r="C50" s="160" t="inlineStr"/>
      <c r="D50" s="160" t="inlineStr">
        <is>
          <t>2026-11-04</t>
        </is>
      </c>
      <c r="E50" s="160" t="inlineStr"/>
      <c r="F50" s="76" t="inlineStr">
        <is>
          <t>Connect: Self-Assessment 14.02 - What Type of Organizational Culture Do I</t>
        </is>
      </c>
    </row>
    <row r="51">
      <c r="A51" s="82" t="inlineStr">
        <is>
          <t>Homework</t>
        </is>
      </c>
      <c r="B51" s="160" t="inlineStr"/>
      <c r="C51" s="160" t="inlineStr"/>
      <c r="D51" s="160" t="inlineStr">
        <is>
          <t>2026-11-30</t>
        </is>
      </c>
      <c r="E51" s="160" t="inlineStr"/>
      <c r="F51" s="76" t="inlineStr">
        <is>
          <t>Connect: Self-Assessment 16.02 - What Is Your</t>
        </is>
      </c>
    </row>
    <row r="52">
      <c r="A52" s="82" t="inlineStr">
        <is>
          <t>Homework</t>
        </is>
      </c>
      <c r="B52" s="160" t="inlineStr"/>
      <c r="C52" s="160" t="inlineStr"/>
      <c r="D52" s="160" t="inlineStr">
        <is>
          <t>2026-11-30</t>
        </is>
      </c>
      <c r="E52" s="160" t="inlineStr"/>
      <c r="F52" s="76" t="inlineStr">
        <is>
          <t>Connect: Self-Assessment 16.03 - Assessing Your</t>
        </is>
      </c>
    </row>
    <row r="53">
      <c r="A53" s="82" t="inlineStr">
        <is>
          <t>Homework</t>
        </is>
      </c>
      <c r="B53" s="160" t="inlineStr"/>
      <c r="C53" s="160" t="inlineStr"/>
      <c r="D53" s="160" t="inlineStr">
        <is>
          <t>2026-12-20</t>
        </is>
      </c>
      <c r="E53" s="160" t="inlineStr"/>
      <c r="F53" s="76" t="inlineStr">
        <is>
          <t>Connect: Self-Assessment 12.02 - Which influence</t>
        </is>
      </c>
    </row>
    <row r="54">
      <c r="A54" s="29" t="inlineStr">
        <is>
          <t>Total</t>
        </is>
      </c>
      <c r="B54" s="83" t="inlineStr">
        <is>
          <t>100%</t>
        </is>
      </c>
    </row>
  </sheetData>
  <mergeCells count="5">
    <mergeCell ref="A2:F2"/>
    <mergeCell ref="B6:F6"/>
    <mergeCell ref="A1:F1"/>
    <mergeCell ref="B8:F8"/>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2026-08-25T02:22:16Z</dcterms:modified>
</cp:coreProperties>
</file>