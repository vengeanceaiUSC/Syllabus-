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BUAD-281" sheetId="2" state="visible" r:id="rId2"/>
    <sheet xmlns:r="http://schemas.openxmlformats.org/officeDocument/2006/relationships" name="BUAD-304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</fonts>
  <fills count="12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DDEAF3"/>
      </patternFill>
    </fill>
    <fill>
      <patternFill patternType="solid">
        <fgColor rgb="00EFF5F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1" fillId="6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1" fillId="9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" t="inlineStr">
        <is>
          <t>HIST-103 — The Emergence of Modern Europe</t>
        </is>
      </c>
    </row>
    <row r="2" ht="40" customHeight="1">
      <c r="A2" s="2">
        <f>HYPERLINK("https://raw.githubusercontent.com/vengeanceaiUSC/Syllabus-/cursor/add-syllabus-dissector-skill-a676/output/sources/hist-103-source.pdf","SEE HERE")</f>
        <v/>
      </c>
    </row>
    <row r="3">
      <c r="A3" s="3" t="inlineStr">
        <is>
          <t>Instructor</t>
        </is>
      </c>
      <c r="B3" t="inlineStr">
        <is>
          <t>Dr. Lindsay O'Neill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93% (100-93)</t>
        </is>
      </c>
    </row>
    <row r="6">
      <c r="A6" s="3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8">
      <c r="A8" s="5" t="inlineStr">
        <is>
          <t>Category</t>
        </is>
      </c>
      <c r="B8" s="5" t="inlineStr">
        <is>
          <t>Weight</t>
        </is>
      </c>
      <c r="C8" s="5" t="inlineStr">
        <is>
          <t>Start Date</t>
        </is>
      </c>
      <c r="D8" s="5" t="inlineStr">
        <is>
          <t>Due Date</t>
        </is>
      </c>
      <c r="E8" s="5" t="inlineStr">
        <is>
          <t>Group Project</t>
        </is>
      </c>
      <c r="F8" s="5" t="inlineStr">
        <is>
          <t>Details</t>
        </is>
      </c>
    </row>
    <row r="9">
      <c r="A9" s="6" t="inlineStr">
        <is>
          <t>Sleep Paper</t>
        </is>
      </c>
      <c r="B9" s="7" t="inlineStr">
        <is>
          <t>20%</t>
        </is>
      </c>
      <c r="C9" s="7" t="inlineStr">
        <is>
          <t>2026-03-20</t>
        </is>
      </c>
      <c r="D9" s="7" t="inlineStr">
        <is>
          <t>2026-09-15</t>
        </is>
      </c>
      <c r="E9" s="7" t="inlineStr">
        <is>
          <t>No</t>
        </is>
      </c>
      <c r="F9" s="8">
        <f>HYPERLINK("https://raw.githubusercontent.com/vengeanceaiUSC/Syllabus-/cursor/add-syllabus-dissector-skill-a676/output/documents/hist-103-sleep-paper.pdf","Open PDF")</f>
        <v/>
      </c>
    </row>
    <row r="10">
      <c r="A10" s="9" t="inlineStr">
        <is>
          <t>Witchcraft Paper</t>
        </is>
      </c>
      <c r="B10" s="10" t="inlineStr">
        <is>
          <t>20%</t>
        </is>
      </c>
      <c r="C10" s="10" t="inlineStr">
        <is>
          <t>2026-08-25</t>
        </is>
      </c>
      <c r="D10" s="10" t="inlineStr">
        <is>
          <t>2026-11-10</t>
        </is>
      </c>
      <c r="E10" s="10" t="inlineStr">
        <is>
          <t>No</t>
        </is>
      </c>
      <c r="F10" s="11">
        <f>HYPERLINK("https://raw.githubusercontent.com/vengeanceaiUSC/Syllabus-/cursor/add-syllabus-dissector-skill-a676/output/documents/hist-103-witchcraft-paper.pdf","Open PDF")</f>
        <v/>
      </c>
    </row>
    <row r="11">
      <c r="A11" s="6" t="inlineStr">
        <is>
          <t>Mid-term</t>
        </is>
      </c>
      <c r="B11" s="7" t="inlineStr">
        <is>
          <t>20%</t>
        </is>
      </c>
      <c r="C11" s="7" t="inlineStr">
        <is>
          <t>2026-08-25</t>
        </is>
      </c>
      <c r="D11" s="7" t="inlineStr">
        <is>
          <t>2026-10-09</t>
        </is>
      </c>
      <c r="E11" s="7" t="inlineStr">
        <is>
          <t>No</t>
        </is>
      </c>
      <c r="F11" s="8">
        <f>HYPERLINK("https://raw.githubusercontent.com/vengeanceaiUSC/Syllabus-/cursor/add-syllabus-dissector-skill-a676/output/documents/hist-103-mid-term.pdf","Open PDF")</f>
        <v/>
      </c>
    </row>
    <row r="12">
      <c r="A12" s="9" t="inlineStr">
        <is>
          <t>Final Exam</t>
        </is>
      </c>
      <c r="B12" s="10" t="inlineStr">
        <is>
          <t>20%</t>
        </is>
      </c>
      <c r="C12" s="10" t="inlineStr">
        <is>
          <t>2026-08-25</t>
        </is>
      </c>
      <c r="D12" s="10" t="inlineStr">
        <is>
          <t>2026-12-10</t>
        </is>
      </c>
      <c r="E12" s="10" t="inlineStr">
        <is>
          <t>No</t>
        </is>
      </c>
      <c r="F12" s="11">
        <f>HYPERLINK("https://raw.githubusercontent.com/vengeanceaiUSC/Syllabus-/cursor/add-syllabus-dissector-skill-a676/output/documents/hist-103-final-exam.pdf","Open PDF")</f>
        <v/>
      </c>
    </row>
    <row r="13">
      <c r="A13" s="6" t="inlineStr">
        <is>
          <t>Discussion Section</t>
        </is>
      </c>
      <c r="B13" s="7" t="inlineStr">
        <is>
          <t>15%</t>
        </is>
      </c>
      <c r="C13" s="7" t="inlineStr">
        <is>
          <t>2026-11-10</t>
        </is>
      </c>
      <c r="D13" s="7" t="inlineStr">
        <is>
          <t>2026-11-12</t>
        </is>
      </c>
      <c r="E13" s="7" t="inlineStr">
        <is>
          <t>Yes</t>
        </is>
      </c>
      <c r="F13" s="8">
        <f>HYPERLINK("https://raw.githubusercontent.com/vengeanceaiUSC/Syllabus-/cursor/add-syllabus-dissector-skill-a676/output/documents/hist-103-discussion-section.pdf","Open PDF")</f>
        <v/>
      </c>
    </row>
    <row r="14">
      <c r="A14" s="9" t="inlineStr">
        <is>
          <t>Identification Quizzes</t>
        </is>
      </c>
      <c r="B14" s="10" t="inlineStr">
        <is>
          <t>5%</t>
        </is>
      </c>
      <c r="C14" s="10" t="inlineStr">
        <is>
          <t>2026-08-25</t>
        </is>
      </c>
      <c r="D14" s="10" t="inlineStr">
        <is>
          <t>2026-12-10</t>
        </is>
      </c>
      <c r="E14" s="10" t="inlineStr">
        <is>
          <t>No</t>
        </is>
      </c>
      <c r="F14" s="11">
        <f>HYPERLINK("https://raw.githubusercontent.com/vengeanceaiUSC/Syllabus-/cursor/add-syllabus-dissector-skill-a676/output/documents/hist-103-identification-quizzes.pdf","Open PDF")</f>
        <v/>
      </c>
    </row>
    <row r="15">
      <c r="A15" s="6" t="inlineStr">
        <is>
          <t>Extra Credit</t>
        </is>
      </c>
      <c r="B15" s="7" t="inlineStr">
        <is>
          <t>—</t>
        </is>
      </c>
      <c r="C15" s="7" t="inlineStr"/>
      <c r="D15" s="7" t="inlineStr">
        <is>
          <t>2026-12-04</t>
        </is>
      </c>
      <c r="E15" s="7" t="inlineStr">
        <is>
          <t>No</t>
        </is>
      </c>
      <c r="F15" s="8">
        <f>HYPERLINK("https://raw.githubusercontent.com/vengeanceaiUSC/Syllabus-/cursor/add-syllabus-dissector-skill-a676/output/documents/hist-103-extra-credit.pdf","Open PDF")</f>
        <v/>
      </c>
    </row>
    <row r="16">
      <c r="A16" s="3" t="inlineStr">
        <is>
          <t>Total</t>
        </is>
      </c>
      <c r="B16" s="3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0E"/>
    <outlinePr summaryBelow="1" summaryRight="1"/>
    <pageSetUpPr/>
  </sheetPr>
  <dimension ref="A1:F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2" t="inlineStr">
        <is>
          <t>BUAD-281 — Managerial Accounting</t>
        </is>
      </c>
    </row>
    <row r="2" ht="40" customHeight="1">
      <c r="A2" s="2">
        <f>HYPERLINK("https://raw.githubusercontent.com/vengeanceaiUSC/Syllabus-/cursor/add-syllabus-dissector-skill-a676/output/sources/buad-281-source.pdf","SEE HERE")</f>
        <v/>
      </c>
    </row>
    <row r="3">
      <c r="A3" s="3" t="inlineStr">
        <is>
          <t>Instructor</t>
        </is>
      </c>
      <c r="B3" t="inlineStr">
        <is>
          <t>Braunegg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N/A</t>
        </is>
      </c>
    </row>
    <row r="6">
      <c r="A6" s="3" t="inlineStr">
        <is>
          <t>Grading scale</t>
        </is>
      </c>
      <c r="B6" t="inlineStr">
        <is>
          <t>Total graded points in calendar: 1070 (letter scale not in document)</t>
        </is>
      </c>
    </row>
    <row r="8">
      <c r="A8" s="13" t="inlineStr">
        <is>
          <t>Category</t>
        </is>
      </c>
      <c r="B8" s="13" t="inlineStr">
        <is>
          <t>Weight</t>
        </is>
      </c>
      <c r="C8" s="13" t="inlineStr">
        <is>
          <t>Start Date</t>
        </is>
      </c>
      <c r="D8" s="13" t="inlineStr">
        <is>
          <t>Due Date</t>
        </is>
      </c>
      <c r="E8" s="13" t="inlineStr">
        <is>
          <t>Group Project</t>
        </is>
      </c>
      <c r="F8" s="13" t="inlineStr">
        <is>
          <t>Details</t>
        </is>
      </c>
    </row>
    <row r="9">
      <c r="A9" s="14" t="inlineStr">
        <is>
          <t>Midterm 1</t>
        </is>
      </c>
      <c r="B9" s="15" t="inlineStr">
        <is>
          <t>250 pts</t>
        </is>
      </c>
      <c r="C9" s="15" t="inlineStr"/>
      <c r="D9" s="15" t="inlineStr">
        <is>
          <t>2026-09-30</t>
        </is>
      </c>
      <c r="E9" s="15" t="inlineStr">
        <is>
          <t>No</t>
        </is>
      </c>
      <c r="F9" s="16">
        <f>HYPERLINK("https://raw.githubusercontent.com/vengeanceaiUSC/Syllabus-/cursor/add-syllabus-dissector-skill-a676/output/documents/buad-281-midterm-1.pdf","Open PDF")</f>
        <v/>
      </c>
    </row>
    <row r="10">
      <c r="A10" s="17" t="inlineStr">
        <is>
          <t>Midterm 2</t>
        </is>
      </c>
      <c r="B10" s="18" t="inlineStr">
        <is>
          <t>250 pts</t>
        </is>
      </c>
      <c r="C10" s="18" t="inlineStr"/>
      <c r="D10" s="18" t="inlineStr">
        <is>
          <t>2026-10-26</t>
        </is>
      </c>
      <c r="E10" s="18" t="inlineStr">
        <is>
          <t>No</t>
        </is>
      </c>
      <c r="F10" s="19">
        <f>HYPERLINK("https://raw.githubusercontent.com/vengeanceaiUSC/Syllabus-/cursor/add-syllabus-dissector-skill-a676/output/documents/buad-281-midterm-2.pdf","Open PDF")</f>
        <v/>
      </c>
    </row>
    <row r="11">
      <c r="A11" s="14" t="inlineStr">
        <is>
          <t>Final Exam</t>
        </is>
      </c>
      <c r="B11" s="15" t="inlineStr">
        <is>
          <t>250 pts</t>
        </is>
      </c>
      <c r="C11" s="15" t="inlineStr"/>
      <c r="D11" s="15" t="inlineStr">
        <is>
          <t>2026-12-16</t>
        </is>
      </c>
      <c r="E11" s="15" t="inlineStr">
        <is>
          <t>No</t>
        </is>
      </c>
      <c r="F11" s="16">
        <f>HYPERLINK("https://raw.githubusercontent.com/vengeanceaiUSC/Syllabus-/cursor/add-syllabus-dissector-skill-a676/output/documents/buad-281-final-exam.pdf","Open PDF")</f>
        <v/>
      </c>
    </row>
    <row r="12">
      <c r="A12" s="17" t="inlineStr">
        <is>
          <t>Homework</t>
        </is>
      </c>
      <c r="B12" s="18" t="inlineStr">
        <is>
          <t>170 pts</t>
        </is>
      </c>
      <c r="C12" s="18" t="inlineStr">
        <is>
          <t>2026-09-09</t>
        </is>
      </c>
      <c r="D12" s="18" t="inlineStr">
        <is>
          <t>2026-11-16</t>
        </is>
      </c>
      <c r="E12" s="18" t="inlineStr">
        <is>
          <t>No</t>
        </is>
      </c>
      <c r="F12" s="19">
        <f>HYPERLINK("https://raw.githubusercontent.com/vengeanceaiUSC/Syllabus-/cursor/add-syllabus-dissector-skill-a676/output/documents/buad-281-homework.pdf","Open PDF")</f>
        <v/>
      </c>
    </row>
    <row r="13">
      <c r="A13" s="14" t="inlineStr">
        <is>
          <t>LinkedIn Learning Excel Certification</t>
        </is>
      </c>
      <c r="B13" s="15" t="inlineStr">
        <is>
          <t>75 pts</t>
        </is>
      </c>
      <c r="C13" s="15" t="inlineStr">
        <is>
          <t>2026-09-23</t>
        </is>
      </c>
      <c r="D13" s="15" t="inlineStr">
        <is>
          <t>2026-12-02</t>
        </is>
      </c>
      <c r="E13" s="15" t="inlineStr">
        <is>
          <t>No</t>
        </is>
      </c>
      <c r="F13" s="16">
        <f>HYPERLINK("https://raw.githubusercontent.com/vengeanceaiUSC/Syllabus-/cursor/add-syllabus-dissector-skill-a676/output/documents/buad-281-linkedin-learning-excel-certification.pdf","Open PDF")</f>
        <v/>
      </c>
    </row>
    <row r="14">
      <c r="A14" s="17" t="inlineStr">
        <is>
          <t>Stukent Simternship</t>
        </is>
      </c>
      <c r="B14" s="18" t="inlineStr">
        <is>
          <t>75 pts</t>
        </is>
      </c>
      <c r="C14" s="18" t="inlineStr">
        <is>
          <t>2026-09-23</t>
        </is>
      </c>
      <c r="D14" s="18" t="inlineStr">
        <is>
          <t>2026-12-02</t>
        </is>
      </c>
      <c r="E14" s="18" t="inlineStr">
        <is>
          <t>No</t>
        </is>
      </c>
      <c r="F14" s="19">
        <f>HYPERLINK("https://raw.githubusercontent.com/vengeanceaiUSC/Syllabus-/cursor/add-syllabus-dissector-skill-a676/output/documents/buad-281-stukent-simternship.pdf","Open PDF")</f>
        <v/>
      </c>
    </row>
    <row r="15">
      <c r="A15" s="3" t="inlineStr">
        <is>
          <t>Total</t>
        </is>
      </c>
      <c r="B15" s="3" t="inlineStr">
        <is>
          <t>1070 pts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7B4"/>
    <outlinePr summaryBelow="1" summaryRight="1"/>
    <pageSetUpPr/>
  </sheetPr>
  <dimension ref="A1:F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20" t="inlineStr">
        <is>
          <t>BUAD-304 — Organizational Behavior and Leadership</t>
        </is>
      </c>
    </row>
    <row r="2" ht="40" customHeight="1">
      <c r="A2" s="2">
        <f>HYPERLINK("https://raw.githubusercontent.com/vengeanceaiUSC/Syllabus-/cursor/add-syllabus-dissector-skill-a676/output/sources/buad-304-source.pdf","SEE HERE")</f>
        <v/>
      </c>
    </row>
    <row r="3">
      <c r="A3" s="3" t="inlineStr">
        <is>
          <t>Instructor</t>
        </is>
      </c>
      <c r="B3" t="inlineStr">
        <is>
          <t>Christine El Haddad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Curved (class rank)</t>
        </is>
      </c>
    </row>
    <row r="6">
      <c r="A6" s="3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8">
      <c r="A8" s="21" t="inlineStr">
        <is>
          <t>Category</t>
        </is>
      </c>
      <c r="B8" s="21" t="inlineStr">
        <is>
          <t>Weight</t>
        </is>
      </c>
      <c r="C8" s="21" t="inlineStr">
        <is>
          <t>Start Date</t>
        </is>
      </c>
      <c r="D8" s="21" t="inlineStr">
        <is>
          <t>Due Date</t>
        </is>
      </c>
      <c r="E8" s="21" t="inlineStr">
        <is>
          <t>Group Project</t>
        </is>
      </c>
      <c r="F8" s="21" t="inlineStr">
        <is>
          <t>Details</t>
        </is>
      </c>
    </row>
    <row r="9">
      <c r="A9" s="22" t="inlineStr">
        <is>
          <t>Final Exam</t>
        </is>
      </c>
      <c r="B9" s="32" t="inlineStr">
        <is>
          <t>25%</t>
        </is>
      </c>
      <c r="C9" s="32" t="inlineStr"/>
      <c r="D9" s="32" t="inlineStr">
        <is>
          <t>2026-12-09</t>
        </is>
      </c>
      <c r="E9" s="32" t="inlineStr">
        <is>
          <t>No</t>
        </is>
      </c>
      <c r="F9" s="33">
        <f>HYPERLINK("https://raw.githubusercontent.com/vengeanceaiUSC/Syllabus-/cursor/add-syllabus-dissector-skill-a676/output/documents/buad-304-final-exam.pdf","Open PDF")</f>
        <v/>
      </c>
    </row>
    <row r="10">
      <c r="A10" s="25" t="inlineStr">
        <is>
          <t>Participation</t>
        </is>
      </c>
      <c r="B10" s="34" t="inlineStr">
        <is>
          <t>15%</t>
        </is>
      </c>
      <c r="C10" s="34" t="inlineStr">
        <is>
          <t>2026-08-24</t>
        </is>
      </c>
      <c r="D10" s="34" t="inlineStr">
        <is>
          <t>2026-12-04</t>
        </is>
      </c>
      <c r="E10" s="34" t="inlineStr">
        <is>
          <t>No</t>
        </is>
      </c>
      <c r="F10" s="35">
        <f>HYPERLINK("https://raw.githubusercontent.com/vengeanceaiUSC/Syllabus-/cursor/add-syllabus-dissector-skill-a676/output/documents/buad-304-participation.pdf","Open PDF")</f>
        <v/>
      </c>
    </row>
    <row r="11">
      <c r="A11" s="22" t="inlineStr">
        <is>
          <t>Midterm Exam</t>
        </is>
      </c>
      <c r="B11" s="32" t="inlineStr">
        <is>
          <t>15%</t>
        </is>
      </c>
      <c r="C11" s="32" t="inlineStr"/>
      <c r="D11" s="32" t="inlineStr">
        <is>
          <t>2026-10-14</t>
        </is>
      </c>
      <c r="E11" s="32" t="inlineStr">
        <is>
          <t>No</t>
        </is>
      </c>
      <c r="F11" s="33">
        <f>HYPERLINK("https://raw.githubusercontent.com/vengeanceaiUSC/Syllabus-/cursor/add-syllabus-dissector-skill-a676/output/documents/buad-304-midterm-exam.pdf","Open PDF")</f>
        <v/>
      </c>
    </row>
    <row r="12">
      <c r="A12" s="25" t="inlineStr">
        <is>
          <t>Team Project Paper</t>
        </is>
      </c>
      <c r="B12" s="34" t="inlineStr">
        <is>
          <t>15%</t>
        </is>
      </c>
      <c r="C12" s="34" t="inlineStr"/>
      <c r="D12" s="34" t="inlineStr">
        <is>
          <t>2026-11-09</t>
        </is>
      </c>
      <c r="E12" s="34" t="inlineStr">
        <is>
          <t>Yes</t>
        </is>
      </c>
      <c r="F12" s="35">
        <f>HYPERLINK("https://raw.githubusercontent.com/vengeanceaiUSC/Syllabus-/cursor/add-syllabus-dissector-skill-a676/output/documents/buad-304-team-project-paper.pdf","Open PDF")</f>
        <v/>
      </c>
    </row>
    <row r="13">
      <c r="A13" s="22" t="inlineStr">
        <is>
          <t>Final Reflection Paper</t>
        </is>
      </c>
      <c r="B13" s="32" t="inlineStr">
        <is>
          <t>10%</t>
        </is>
      </c>
      <c r="C13" s="32" t="inlineStr"/>
      <c r="D13" s="32" t="inlineStr">
        <is>
          <t>2026-12-02</t>
        </is>
      </c>
      <c r="E13" s="32" t="inlineStr">
        <is>
          <t>No</t>
        </is>
      </c>
      <c r="F13" s="33">
        <f>HYPERLINK("https://raw.githubusercontent.com/vengeanceaiUSC/Syllabus-/cursor/add-syllabus-dissector-skill-a676/output/documents/buad-304-final-reflection-paper.pdf","Open PDF")</f>
        <v/>
      </c>
    </row>
    <row r="14">
      <c r="A14" s="25" t="inlineStr">
        <is>
          <t>Presentation</t>
        </is>
      </c>
      <c r="B14" s="34" t="inlineStr">
        <is>
          <t>10%</t>
        </is>
      </c>
      <c r="C14" s="34" t="inlineStr"/>
      <c r="D14" s="34" t="inlineStr">
        <is>
          <t>2026-11-09</t>
        </is>
      </c>
      <c r="E14" s="34" t="inlineStr">
        <is>
          <t>Yes</t>
        </is>
      </c>
      <c r="F14" s="35">
        <f>HYPERLINK("https://raw.githubusercontent.com/vengeanceaiUSC/Syllabus-/cursor/add-syllabus-dissector-skill-a676/output/documents/buad-304-presentation.pdf","Open PDF")</f>
        <v/>
      </c>
    </row>
    <row r="15">
      <c r="A15" s="22" t="inlineStr">
        <is>
          <t>Case Analysis Assignments</t>
        </is>
      </c>
      <c r="B15" s="32" t="inlineStr">
        <is>
          <t>5%</t>
        </is>
      </c>
      <c r="C15" s="32" t="inlineStr">
        <is>
          <t>2026-09-16</t>
        </is>
      </c>
      <c r="D15" s="32" t="inlineStr">
        <is>
          <t>2026-10-21</t>
        </is>
      </c>
      <c r="E15" s="32" t="inlineStr">
        <is>
          <t>No</t>
        </is>
      </c>
      <c r="F15" s="33">
        <f>HYPERLINK("https://raw.githubusercontent.com/vengeanceaiUSC/Syllabus-/cursor/add-syllabus-dissector-skill-a676/output/documents/buad-304-case-analysis-assignments.pdf","Open PDF")</f>
        <v/>
      </c>
    </row>
    <row r="16">
      <c r="A16" s="25" t="inlineStr">
        <is>
          <t>Proposal &amp; Team Contract</t>
        </is>
      </c>
      <c r="B16" s="34" t="inlineStr">
        <is>
          <t>3%</t>
        </is>
      </c>
      <c r="C16" s="34" t="inlineStr"/>
      <c r="D16" s="34" t="inlineStr">
        <is>
          <t>2026-09-28</t>
        </is>
      </c>
      <c r="E16" s="34" t="inlineStr">
        <is>
          <t>Yes</t>
        </is>
      </c>
      <c r="F16" s="35">
        <f>HYPERLINK("https://raw.githubusercontent.com/vengeanceaiUSC/Syllabus-/cursor/add-syllabus-dissector-skill-a676/output/documents/buad-304-proposal-team-contract.pdf","Open PDF")</f>
        <v/>
      </c>
    </row>
    <row r="17">
      <c r="A17" s="22" t="inlineStr">
        <is>
          <t>Self &amp; Peer Evaluation</t>
        </is>
      </c>
      <c r="B17" s="32" t="inlineStr">
        <is>
          <t>2%</t>
        </is>
      </c>
      <c r="C17" s="32" t="inlineStr"/>
      <c r="D17" s="32" t="inlineStr">
        <is>
          <t>2026-11-18</t>
        </is>
      </c>
      <c r="E17" s="32" t="inlineStr">
        <is>
          <t>Yes</t>
        </is>
      </c>
      <c r="F17" s="33">
        <f>HYPERLINK("https://raw.githubusercontent.com/vengeanceaiUSC/Syllabus-/cursor/add-syllabus-dissector-skill-a676/output/documents/buad-304-self-peer-evaluation.pdf","Open PDF")</f>
        <v/>
      </c>
    </row>
    <row r="18">
      <c r="A18" s="3" t="inlineStr">
        <is>
          <t>Total</t>
        </is>
      </c>
      <c r="B18" s="3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2026-08-21T00:33:08Z</dcterms:modified>
</cp:coreProperties>
</file>