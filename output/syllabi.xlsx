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UAD-304" sheetId="2" state="visible" r:id="rId2"/>
    <sheet xmlns:r="http://schemas.openxmlformats.org/officeDocument/2006/relationships" name="HIST-103" sheetId="3" state="visible" r:id="rId3"/>
    <sheet xmlns:r="http://schemas.openxmlformats.org/officeDocument/2006/relationships" name="BUAD-28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C00000"/>
      <sz val="20"/>
      <u val="single"/>
    </font>
    <font>
      <b val="1"/>
    </font>
    <font>
      <b val="1"/>
      <color rgb="00C00000"/>
    </font>
    <font>
      <b val="1"/>
      <color rgb="00D62728"/>
      <sz val="11"/>
    </font>
    <font>
      <b val="1"/>
      <color rgb="00FFFFFF"/>
    </font>
    <font>
      <b val="1"/>
      <sz val="11"/>
    </font>
    <font>
      <b val="1"/>
      <color rgb="00D62728"/>
      <sz val="13"/>
    </font>
    <font>
      <color rgb="000563C1"/>
      <u val="single"/>
    </font>
    <font>
      <b val="1"/>
      <color rgb="007030A0"/>
      <sz val="11"/>
    </font>
    <font>
      <b val="1"/>
      <color rgb="00C00000"/>
      <sz val="11"/>
    </font>
    <font>
      <b val="1"/>
      <color rgb="001F4E79"/>
      <sz val="11"/>
    </font>
    <font>
      <b val="1"/>
      <color rgb="00FFFFFF"/>
      <sz val="16"/>
    </font>
    <font>
      <i val="1"/>
    </font>
    <font>
      <i val="1"/>
      <color rgb="00404040"/>
    </font>
    <font>
      <i val="1"/>
      <color rgb="000070C0"/>
    </font>
    <font>
      <b val="1"/>
      <color rgb="000563C1"/>
      <u val="single"/>
    </font>
    <font>
      <b val="1"/>
      <color rgb="000070C0"/>
    </font>
    <font>
      <b val="1"/>
      <i val="1"/>
      <color rgb="000070C0"/>
    </font>
    <font>
      <b val="1"/>
      <color rgb="00C65911"/>
    </font>
    <font>
      <b val="1"/>
      <color rgb="007030A0"/>
    </font>
    <font>
      <b val="1"/>
      <color rgb="00375623"/>
    </font>
    <font>
      <b val="1"/>
      <color rgb="00FF7F0E"/>
      <sz val="11"/>
    </font>
    <font>
      <b val="1"/>
      <color rgb="00FF7F0E"/>
      <sz val="13"/>
    </font>
    <font>
      <b val="1"/>
      <color rgb="00C65911"/>
      <sz val="11"/>
    </font>
    <font>
      <b val="1"/>
      <color rgb="000070C0"/>
      <sz val="11"/>
    </font>
    <font>
      <b val="1"/>
      <color rgb="001F77B4"/>
      <sz val="11"/>
    </font>
    <font>
      <b val="1"/>
      <color rgb="001F77B4"/>
      <sz val="13"/>
    </font>
    <font>
      <b val="1"/>
      <color rgb="00375623"/>
      <sz val="11"/>
    </font>
    <font>
      <i val="1"/>
      <color rgb="00808080"/>
      <sz val="9"/>
    </font>
  </fonts>
  <fills count="31">
    <fill>
      <patternFill/>
    </fill>
    <fill>
      <patternFill patternType="gray125"/>
    </fill>
    <fill>
      <patternFill patternType="solid">
        <fgColor rgb="00D62728"/>
      </patternFill>
    </fill>
    <fill>
      <patternFill patternType="solid">
        <fgColor rgb="00FFF2CC"/>
      </patternFill>
    </fill>
    <fill>
      <patternFill patternType="solid">
        <fgColor rgb="00F5CFCF"/>
      </patternFill>
    </fill>
    <fill>
      <patternFill patternType="solid">
        <fgColor rgb="00F8DEDE"/>
      </patternFill>
    </fill>
    <fill>
      <patternFill patternType="solid">
        <fgColor rgb="00F3C2C2"/>
      </patternFill>
    </fill>
    <fill>
      <patternFill patternType="solid">
        <fgColor rgb="00FDF6F6"/>
      </patternFill>
    </fill>
    <fill>
      <patternFill patternType="solid">
        <fgColor rgb="00FCEFEF"/>
      </patternFill>
    </fill>
    <fill>
      <patternFill patternType="solid">
        <fgColor rgb="00203764"/>
      </patternFill>
    </fill>
    <fill>
      <patternFill patternType="solid">
        <fgColor rgb="00DDEBF7"/>
      </patternFill>
    </fill>
    <fill>
      <patternFill patternType="solid">
        <fgColor rgb="004472C4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5B9BD5"/>
      </patternFill>
    </fill>
    <fill>
      <patternFill patternType="solid">
        <fgColor rgb="00F5FAFD"/>
      </patternFill>
    </fill>
    <fill>
      <patternFill patternType="solid">
        <fgColor rgb="00E8F4FC"/>
      </patternFill>
    </fill>
    <fill>
      <patternFill patternType="solid">
        <fgColor rgb="00FF7F0E"/>
      </patternFill>
    </fill>
    <fill>
      <patternFill patternType="solid">
        <fgColor rgb="00FFE2C9"/>
      </patternFill>
    </fill>
    <fill>
      <patternFill patternType="solid">
        <fgColor rgb="00E2EFDA"/>
      </patternFill>
    </fill>
    <fill>
      <patternFill patternType="solid">
        <fgColor rgb="00FFEBDA"/>
      </patternFill>
    </fill>
    <fill>
      <patternFill patternType="solid">
        <fgColor rgb="00FFDBBB"/>
      </patternFill>
    </fill>
    <fill>
      <patternFill patternType="solid">
        <fgColor rgb="00FFF9F5"/>
      </patternFill>
    </fill>
    <fill>
      <patternFill patternType="solid">
        <fgColor rgb="00FFF6EE"/>
      </patternFill>
    </fill>
    <fill>
      <patternFill patternType="solid">
        <fgColor rgb="001F77B4"/>
      </patternFill>
    </fill>
    <fill>
      <patternFill patternType="solid">
        <fgColor rgb="00CDE1EE"/>
      </patternFill>
    </fill>
    <fill>
      <patternFill patternType="solid">
        <fgColor rgb="00DDEAF3"/>
      </patternFill>
    </fill>
    <fill>
      <patternFill patternType="solid">
        <fgColor rgb="00C0D8EA"/>
      </patternFill>
    </fill>
    <fill>
      <patternFill patternType="solid">
        <fgColor rgb="00F6F9FC"/>
      </patternFill>
    </fill>
    <fill>
      <patternFill patternType="solid">
        <fgColor rgb="00EFF5F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13" fillId="9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16" fillId="10" borderId="0" applyAlignment="1" pivotButton="0" quotePrefix="0" xfId="0">
      <alignment wrapText="1"/>
    </xf>
    <xf numFmtId="0" fontId="4" fillId="3" borderId="0" applyAlignment="1" pivotButton="0" quotePrefix="0" xfId="0">
      <alignment wrapText="1"/>
    </xf>
    <xf numFmtId="0" fontId="6" fillId="11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  <xf numFmtId="0" fontId="18" fillId="12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0" fillId="13" borderId="1" applyAlignment="1" pivotButton="0" quotePrefix="0" xfId="0">
      <alignment vertical="top" wrapText="1"/>
    </xf>
    <xf numFmtId="0" fontId="19" fillId="13" borderId="1" applyAlignment="1" pivotButton="0" quotePrefix="0" xfId="0">
      <alignment vertical="top" wrapText="1"/>
    </xf>
    <xf numFmtId="0" fontId="3" fillId="14" borderId="0" pivotButton="0" quotePrefix="0" xfId="0"/>
    <xf numFmtId="0" fontId="6" fillId="11" borderId="1" pivotButton="0" quotePrefix="0" xfId="0"/>
    <xf numFmtId="0" fontId="20" fillId="12" borderId="1" applyAlignment="1" pivotButton="0" quotePrefix="0" xfId="0">
      <alignment vertical="top" wrapText="1"/>
    </xf>
    <xf numFmtId="0" fontId="21" fillId="13" borderId="1" applyAlignment="1" pivotButton="0" quotePrefix="0" xfId="0">
      <alignment vertical="top" wrapText="1"/>
    </xf>
    <xf numFmtId="0" fontId="3" fillId="10" borderId="0" pivotButton="0" quotePrefix="0" xfId="0"/>
    <xf numFmtId="0" fontId="6" fillId="15" borderId="1" pivotButton="0" quotePrefix="0" xfId="0"/>
    <xf numFmtId="0" fontId="0" fillId="16" borderId="1" applyAlignment="1" pivotButton="0" quotePrefix="0" xfId="0">
      <alignment vertical="top" wrapText="1"/>
    </xf>
    <xf numFmtId="0" fontId="20" fillId="16" borderId="1" applyAlignment="1" pivotButton="0" quotePrefix="0" xfId="0">
      <alignment vertical="top" wrapText="1"/>
    </xf>
    <xf numFmtId="0" fontId="16" fillId="16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20" fillId="17" borderId="1" applyAlignment="1" pivotButton="0" quotePrefix="0" xfId="0">
      <alignment vertical="top" wrapText="1"/>
    </xf>
    <xf numFmtId="0" fontId="16" fillId="17" borderId="1" applyAlignment="1" pivotButton="0" quotePrefix="0" xfId="0">
      <alignment vertical="top" wrapText="1"/>
    </xf>
    <xf numFmtId="0" fontId="21" fillId="12" borderId="1" applyAlignment="1" pivotButton="0" quotePrefix="0" xfId="0">
      <alignment vertical="top" wrapText="1"/>
    </xf>
    <xf numFmtId="0" fontId="22" fillId="12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20" fillId="13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  <xf numFmtId="0" fontId="1" fillId="18" borderId="0" applyAlignment="1" pivotButton="0" quotePrefix="0" xfId="0">
      <alignment horizontal="left" vertical="center"/>
    </xf>
    <xf numFmtId="0" fontId="23" fillId="19" borderId="0" applyAlignment="1" pivotButton="0" quotePrefix="0" xfId="0">
      <alignment horizontal="left" vertical="center" wrapText="1"/>
    </xf>
    <xf numFmtId="0" fontId="0" fillId="20" borderId="0" applyAlignment="1" pivotButton="0" quotePrefix="0" xfId="0">
      <alignment vertical="top" wrapText="1"/>
    </xf>
    <xf numFmtId="0" fontId="6" fillId="18" borderId="1" applyAlignment="1" pivotButton="0" quotePrefix="0" xfId="0">
      <alignment horizontal="center" vertical="center"/>
    </xf>
    <xf numFmtId="0" fontId="7" fillId="21" borderId="1" applyAlignment="1" pivotButton="0" quotePrefix="0" xfId="0">
      <alignment horizontal="left" vertical="center" wrapText="1"/>
    </xf>
    <xf numFmtId="0" fontId="24" fillId="22" borderId="1" applyAlignment="1" pivotButton="0" quotePrefix="0" xfId="0">
      <alignment horizontal="right" vertical="center"/>
    </xf>
    <xf numFmtId="0" fontId="0" fillId="21" borderId="1" applyAlignment="1" pivotButton="0" quotePrefix="0" xfId="0">
      <alignment horizontal="left" vertical="center"/>
    </xf>
    <xf numFmtId="0" fontId="9" fillId="21" borderId="1" applyAlignment="1" pivotButton="0" quotePrefix="0" xfId="0">
      <alignment horizontal="left" vertical="center" wrapText="1"/>
    </xf>
    <xf numFmtId="0" fontId="11" fillId="23" borderId="1" applyAlignment="1" pivotButton="0" quotePrefix="0" xfId="0">
      <alignment horizontal="left" vertical="center" wrapText="1"/>
    </xf>
    <xf numFmtId="0" fontId="0" fillId="23" borderId="1" applyAlignment="1" pivotButton="0" quotePrefix="0" xfId="0">
      <alignment horizontal="left" vertical="center"/>
    </xf>
    <xf numFmtId="0" fontId="0" fillId="23" borderId="1" applyAlignment="1" pivotButton="0" quotePrefix="0" xfId="0">
      <alignment horizontal="left" vertical="center" wrapText="1"/>
    </xf>
    <xf numFmtId="0" fontId="7" fillId="24" borderId="1" applyAlignment="1" pivotButton="0" quotePrefix="0" xfId="0">
      <alignment horizontal="left" vertical="center" wrapText="1"/>
    </xf>
    <xf numFmtId="0" fontId="0" fillId="24" borderId="1" applyAlignment="1" pivotButton="0" quotePrefix="0" xfId="0">
      <alignment horizontal="left" vertical="center"/>
    </xf>
    <xf numFmtId="0" fontId="9" fillId="24" borderId="1" applyAlignment="1" pivotButton="0" quotePrefix="0" xfId="0">
      <alignment horizontal="left" vertical="center" wrapText="1"/>
    </xf>
    <xf numFmtId="0" fontId="12" fillId="23" borderId="1" applyAlignment="1" pivotButton="0" quotePrefix="0" xfId="0">
      <alignment horizontal="left" vertical="center" wrapText="1"/>
    </xf>
    <xf numFmtId="0" fontId="25" fillId="23" borderId="1" applyAlignment="1" pivotButton="0" quotePrefix="0" xfId="0">
      <alignment horizontal="left" vertical="center" wrapText="1"/>
    </xf>
    <xf numFmtId="0" fontId="26" fillId="23" borderId="1" applyAlignment="1" pivotButton="0" quotePrefix="0" xfId="0">
      <alignment horizontal="left" vertical="center" wrapText="1"/>
    </xf>
    <xf numFmtId="0" fontId="24" fillId="0" borderId="0" pivotButton="0" quotePrefix="0" xfId="0"/>
    <xf numFmtId="0" fontId="1" fillId="25" borderId="0" applyAlignment="1" pivotButton="0" quotePrefix="0" xfId="0">
      <alignment horizontal="left" vertical="center"/>
    </xf>
    <xf numFmtId="0" fontId="27" fillId="26" borderId="0" applyAlignment="1" pivotButton="0" quotePrefix="0" xfId="0">
      <alignment horizontal="left" vertical="center" wrapText="1"/>
    </xf>
    <xf numFmtId="0" fontId="16" fillId="10" borderId="0" applyAlignment="1" pivotButton="0" quotePrefix="0" xfId="0">
      <alignment vertical="top" wrapText="1"/>
    </xf>
    <xf numFmtId="0" fontId="6" fillId="25" borderId="1" applyAlignment="1" pivotButton="0" quotePrefix="0" xfId="0">
      <alignment horizontal="center" vertical="center"/>
    </xf>
    <xf numFmtId="0" fontId="7" fillId="27" borderId="1" applyAlignment="1" pivotButton="0" quotePrefix="0" xfId="0">
      <alignment horizontal="left" vertical="center" wrapText="1"/>
    </xf>
    <xf numFmtId="0" fontId="28" fillId="28" borderId="1" applyAlignment="1" pivotButton="0" quotePrefix="0" xfId="0">
      <alignment horizontal="right" vertical="center"/>
    </xf>
    <xf numFmtId="0" fontId="0" fillId="27" borderId="1" applyAlignment="1" pivotButton="0" quotePrefix="0" xfId="0">
      <alignment horizontal="left" vertical="center"/>
    </xf>
    <xf numFmtId="0" fontId="9" fillId="27" borderId="1" applyAlignment="1" pivotButton="0" quotePrefix="0" xfId="0">
      <alignment horizontal="left" vertical="center" wrapText="1"/>
    </xf>
    <xf numFmtId="0" fontId="11" fillId="29" borderId="1" applyAlignment="1" pivotButton="0" quotePrefix="0" xfId="0">
      <alignment horizontal="left" vertical="center" wrapText="1"/>
    </xf>
    <xf numFmtId="0" fontId="0" fillId="29" borderId="1" applyAlignment="1" pivotButton="0" quotePrefix="0" xfId="0">
      <alignment horizontal="left" vertical="center"/>
    </xf>
    <xf numFmtId="0" fontId="0" fillId="29" borderId="1" applyAlignment="1" pivotButton="0" quotePrefix="0" xfId="0">
      <alignment horizontal="left" vertical="center" wrapText="1"/>
    </xf>
    <xf numFmtId="0" fontId="7" fillId="30" borderId="1" applyAlignment="1" pivotButton="0" quotePrefix="0" xfId="0">
      <alignment horizontal="left" vertical="center" wrapText="1"/>
    </xf>
    <xf numFmtId="0" fontId="0" fillId="30" borderId="1" applyAlignment="1" pivotButton="0" quotePrefix="0" xfId="0">
      <alignment horizontal="left" vertical="center"/>
    </xf>
    <xf numFmtId="0" fontId="9" fillId="30" borderId="1" applyAlignment="1" pivotButton="0" quotePrefix="0" xfId="0">
      <alignment horizontal="left" vertical="center" wrapText="1"/>
    </xf>
    <xf numFmtId="0" fontId="29" fillId="29" borderId="1" applyAlignment="1" pivotButton="0" quotePrefix="0" xfId="0">
      <alignment horizontal="left" vertical="center" wrapText="1"/>
    </xf>
    <xf numFmtId="0" fontId="10" fillId="29" borderId="1" applyAlignment="1" pivotButton="0" quotePrefix="0" xfId="0">
      <alignment horizontal="left" vertical="center" wrapText="1"/>
    </xf>
    <xf numFmtId="0" fontId="25" fillId="29" borderId="1" applyAlignment="1" pivotButton="0" quotePrefix="0" xfId="0">
      <alignment horizontal="left" vertical="center" wrapText="1"/>
    </xf>
    <xf numFmtId="0" fontId="28" fillId="0" borderId="0" pivotButton="0" quotePrefix="0" xfId="0"/>
    <xf numFmtId="0" fontId="24" fillId="22" borderId="1" applyAlignment="1" pivotButton="0" quotePrefix="0" xfId="0">
      <alignment horizontal="right" vertical="center"/>
    </xf>
    <xf numFmtId="0" fontId="0" fillId="21" borderId="1" applyAlignment="1" pivotButton="0" quotePrefix="0" xfId="0">
      <alignment horizontal="left" vertical="center"/>
    </xf>
    <xf numFmtId="0" fontId="0" fillId="23" borderId="1" applyAlignment="1" pivotButton="0" quotePrefix="0" xfId="0">
      <alignment horizontal="left" vertical="center"/>
    </xf>
    <xf numFmtId="0" fontId="0" fillId="24" borderId="1" applyAlignment="1" pivotButton="0" quotePrefix="0" xfId="0">
      <alignment horizontal="left" vertical="center"/>
    </xf>
    <xf numFmtId="0" fontId="9" fillId="12" borderId="1" applyAlignment="1" pivotButton="0" quotePrefix="0" xfId="0">
      <alignment vertical="top" wrapText="1"/>
    </xf>
    <xf numFmtId="0" fontId="9" fillId="13" borderId="1" applyAlignment="1" pivotButton="0" quotePrefix="0" xfId="0">
      <alignment vertical="top" wrapText="1"/>
    </xf>
    <xf numFmtId="0" fontId="22" fillId="13" borderId="1" applyAlignment="1" pivotButton="0" quotePrefix="0" xfId="0">
      <alignment vertical="top" wrapText="1"/>
    </xf>
    <xf numFmtId="0" fontId="30" fillId="0" borderId="0" pivotButton="0" quotePrefix="0" xfId="0"/>
    <xf numFmtId="0" fontId="24" fillId="22" borderId="1" applyAlignment="1" pivotButton="0" quotePrefix="0" xfId="0">
      <alignment horizontal="right" vertical="center"/>
    </xf>
    <xf numFmtId="0" fontId="0" fillId="21" borderId="1" applyAlignment="1" pivotButton="0" quotePrefix="0" xfId="0">
      <alignment horizontal="left" vertical="center"/>
    </xf>
    <xf numFmtId="0" fontId="0" fillId="23" borderId="1" applyAlignment="1" pivotButton="0" quotePrefix="0" xfId="0">
      <alignment horizontal="left" vertical="center"/>
    </xf>
    <xf numFmtId="0" fontId="0" fillId="24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24" fillId="22" borderId="1" applyAlignment="1" pivotButton="0" quotePrefix="0" xfId="0">
      <alignment horizontal="right" vertical="center"/>
    </xf>
    <xf numFmtId="0" fontId="0" fillId="21" borderId="1" applyAlignment="1" pivotButton="0" quotePrefix="0" xfId="0">
      <alignment horizontal="left" vertical="center"/>
    </xf>
    <xf numFmtId="0" fontId="0" fillId="23" borderId="1" applyAlignment="1" pivotButton="0" quotePrefix="0" xfId="0">
      <alignment horizontal="left" vertical="center"/>
    </xf>
    <xf numFmtId="0" fontId="0" fillId="2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atemyprofessors.com/professor/2462056" TargetMode="External" Id="rId1"/><Relationship Type="http://schemas.openxmlformats.org/officeDocument/2006/relationships/hyperlink" Target="https://www.ratemyprofessors.com/professor/1808480" TargetMode="External" Id="rId2"/><Relationship Type="http://schemas.openxmlformats.org/officeDocument/2006/relationships/hyperlink" Target="https://www.ratemyprofessors.com/professor/1642149" TargetMode="External" Id="rId3"/></Relationships>
</file>

<file path=xl/worksheets/sheet1.xml><?xml version="1.0" encoding="utf-8"?>
<worksheet xmlns="http://schemas.openxmlformats.org/spreadsheetml/2006/main">
  <sheetPr>
    <tabColor rgb="00203764"/>
    <outlinePr summaryBelow="1" summaryRight="1"/>
    <pageSetUpPr/>
  </sheetPr>
  <dimension ref="A1:K44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24" customWidth="1" min="4" max="4"/>
    <col width="12" customWidth="1" min="5" max="5"/>
    <col width="26" customWidth="1" min="6" max="6"/>
    <col width="12" customWidth="1" min="7" max="7"/>
    <col width="14" customWidth="1" min="8" max="8"/>
    <col width="32" customWidth="1" min="9" max="9"/>
    <col width="12" customWidth="1" min="10" max="10"/>
    <col width="28" customWidth="1" min="11" max="11"/>
  </cols>
  <sheetData>
    <row r="1" ht="28" customHeight="1">
      <c r="A1" s="1" t="inlineStr">
        <is>
          <t>Stats Breakdown</t>
        </is>
      </c>
    </row>
    <row r="2">
      <c r="A2" s="2" t="inlineStr">
        <is>
          <t>Term: Fall 2026</t>
        </is>
      </c>
    </row>
    <row r="3">
      <c r="A3" s="3" t="inlineStr">
        <is>
          <t>Today: 2026-08-21</t>
        </is>
      </c>
    </row>
    <row r="4">
      <c r="A4" s="13" t="inlineStr">
        <is>
          <t>Professor Ratings (Rate My Professors)</t>
        </is>
      </c>
    </row>
    <row r="5">
      <c r="A5" s="6" t="inlineStr">
        <is>
          <t>Class</t>
        </is>
      </c>
      <c r="B5" s="6" t="inlineStr">
        <is>
          <t>Instructor</t>
        </is>
      </c>
      <c r="C5" s="6" t="inlineStr">
        <is>
          <t>Quality (/5)</t>
        </is>
      </c>
      <c r="D5" s="6" t="inlineStr">
        <is>
          <t>Difficulty (/5)</t>
        </is>
      </c>
      <c r="E5" s="6" t="inlineStr">
        <is>
          <t>Would Take Again</t>
        </is>
      </c>
      <c r="F5" s="6" t="inlineStr">
        <is>
          <t># Ratings</t>
        </is>
      </c>
      <c r="G5" s="6" t="inlineStr">
        <is>
          <t>Consensus</t>
        </is>
      </c>
    </row>
    <row r="6">
      <c r="A6" s="7">
        <f>HYPERLINK("#'BUAD-281'!A1","BUAD-281")</f>
        <v/>
      </c>
      <c r="B6" s="88" t="inlineStr">
        <is>
          <t>George Braunegg</t>
        </is>
      </c>
      <c r="C6" s="26" t="inlineStr">
        <is>
          <t>4.3</t>
        </is>
      </c>
      <c r="D6" s="8" t="inlineStr">
        <is>
          <t>3.3</t>
        </is>
      </c>
      <c r="E6" s="8" t="inlineStr">
        <is>
          <t>81%</t>
        </is>
      </c>
      <c r="F6" s="8" t="inlineStr">
        <is>
          <t>255</t>
        </is>
      </c>
      <c r="G6" s="8" t="inlineStr">
        <is>
          <t>Warm, funny, and supportive outside class; strong career advice. Lectures and exams are polarizing—some find exams misal</t>
        </is>
      </c>
    </row>
    <row r="7">
      <c r="A7" s="10">
        <f>HYPERLINK("#'BUAD-304'!A1","BUAD-304")</f>
        <v/>
      </c>
      <c r="B7" s="89" t="inlineStr">
        <is>
          <t>Christine El Haddad</t>
        </is>
      </c>
      <c r="C7" s="90" t="inlineStr">
        <is>
          <t>4.5</t>
        </is>
      </c>
      <c r="D7" s="11" t="inlineStr">
        <is>
          <t>2.7</t>
        </is>
      </c>
      <c r="E7" s="11" t="inlineStr">
        <is>
          <t>79%</t>
        </is>
      </c>
      <c r="F7" s="11" t="inlineStr">
        <is>
          <t>50</t>
        </is>
      </c>
      <c r="G7" s="11" t="inlineStr">
        <is>
          <t>Highly supportive and organized; standout Marshall teacher (negotiations, OB). Caring environment with group work and ge</t>
        </is>
      </c>
    </row>
    <row r="8">
      <c r="A8" s="7">
        <f>HYPERLINK("#'HIST-103'!A1","HIST-103")</f>
        <v/>
      </c>
      <c r="B8" s="88" t="inlineStr">
        <is>
          <t>Lindsay O'Neill</t>
        </is>
      </c>
      <c r="C8" s="26" t="inlineStr">
        <is>
          <t>4.3</t>
        </is>
      </c>
      <c r="D8" s="8" t="inlineStr">
        <is>
          <t>2.6</t>
        </is>
      </c>
      <c r="E8" s="8" t="inlineStr">
        <is>
          <t>78.6%</t>
        </is>
      </c>
      <c r="F8" s="8" t="inlineStr">
        <is>
          <t>53</t>
        </is>
      </c>
      <c r="G8" s="8" t="inlineStr">
        <is>
          <t>Passionate, engaging lectures (multimedia, humor); discussion- and reading-heavy. Mixed on grading strictness; occasiona</t>
        </is>
      </c>
    </row>
    <row r="9">
      <c r="A9" s="91" t="inlineStr">
        <is>
          <t>RMP data as of 2026-08-21. Source: ratemyprofessors.com</t>
        </is>
      </c>
    </row>
    <row r="11" ht="28" customHeight="1">
      <c r="A11" s="4" t="inlineStr">
        <is>
          <t>Connect prep (e.g. BUAD-304 Personal Assessments) is ungraded class prep - not part of Participation or other graded categories.</t>
        </is>
      </c>
    </row>
    <row r="12" ht="32" customHeight="1">
      <c r="A12" s="5" t="inlineStr">
        <is>
          <t>Start here (graded): 2026-09-09 - BUAD-281 - Homework: Class 5 (9/9) - 2-29, 2-30, 2-40; 15 Points</t>
        </is>
      </c>
    </row>
    <row r="14">
      <c r="A14" s="6" t="inlineStr">
        <is>
          <t>Class</t>
        </is>
      </c>
      <c r="B14" s="6" t="inlineStr">
        <is>
          <t>Reading</t>
        </is>
      </c>
      <c r="C14" s="6" t="inlineStr">
        <is>
          <t>Homework</t>
        </is>
      </c>
      <c r="D14" s="6" t="inlineStr">
        <is>
          <t>Papers</t>
        </is>
      </c>
      <c r="E14" s="6" t="inlineStr">
        <is>
          <t>Group Project</t>
        </is>
      </c>
      <c r="F14" s="6" t="inlineStr">
        <is>
          <t>External certs</t>
        </is>
      </c>
      <c r="G14" s="6" t="inlineStr">
        <is>
          <t>Connect prep</t>
        </is>
      </c>
      <c r="H14" s="6" t="inlineStr">
        <is>
          <t>First assignment</t>
        </is>
      </c>
      <c r="I14" s="6" t="inlineStr">
        <is>
          <t>Assign due</t>
        </is>
      </c>
      <c r="J14" s="6" t="inlineStr">
        <is>
          <t>First major</t>
        </is>
      </c>
      <c r="K14" s="6" t="inlineStr">
        <is>
          <t>Major due</t>
        </is>
      </c>
    </row>
    <row r="15">
      <c r="A15" s="7">
        <f>HYPERLINK("#'BUAD-281'!A1","BUAD-281")</f>
        <v/>
      </c>
      <c r="B15" s="8" t="inlineStr">
        <is>
          <t>Yes</t>
        </is>
      </c>
      <c r="C15" s="8" t="inlineStr">
        <is>
          <t>Yes</t>
        </is>
      </c>
      <c r="D15" s="8" t="inlineStr">
        <is>
          <t>-</t>
        </is>
      </c>
      <c r="E15" s="8" t="inlineStr">
        <is>
          <t>-</t>
        </is>
      </c>
      <c r="F15" s="9" t="inlineStr">
        <is>
          <t>LinkedIn Learning Excel Certification, Stukent Simternship</t>
        </is>
      </c>
      <c r="G15" s="8" t="inlineStr">
        <is>
          <t>-</t>
        </is>
      </c>
      <c r="H15" s="8" t="inlineStr">
        <is>
          <t>Class 5 (9/9) - 2-29, 2-30, 2-40; 15 Points</t>
        </is>
      </c>
      <c r="I15" s="8" t="inlineStr">
        <is>
          <t>2026-09-09</t>
        </is>
      </c>
      <c r="J15" s="8" t="inlineStr">
        <is>
          <t>Midterm 1</t>
        </is>
      </c>
      <c r="K15" s="8" t="inlineStr">
        <is>
          <t>2026-09-30</t>
        </is>
      </c>
    </row>
    <row r="16">
      <c r="A16" s="10">
        <f>HYPERLINK("#'BUAD-304'!A1","BUAD-304")</f>
        <v/>
      </c>
      <c r="B16" s="11" t="inlineStr">
        <is>
          <t>-</t>
        </is>
      </c>
      <c r="C16" s="11" t="inlineStr">
        <is>
          <t>Yes</t>
        </is>
      </c>
      <c r="D16" s="11" t="inlineStr">
        <is>
          <t>Final Reflection Paper, Team Project Paper</t>
        </is>
      </c>
      <c r="E16" s="11" t="inlineStr">
        <is>
          <t>Yes</t>
        </is>
      </c>
      <c r="F16" s="11" t="inlineStr">
        <is>
          <t>-</t>
        </is>
      </c>
      <c r="G16" s="12" t="inlineStr">
        <is>
          <t>Ungraded prep</t>
        </is>
      </c>
      <c r="H16" s="11" t="inlineStr">
        <is>
          <t>Connect: Self-Assessment 3.01 - What is my Big thinking</t>
        </is>
      </c>
      <c r="I16" s="11" t="inlineStr">
        <is>
          <t>2026-08-31</t>
        </is>
      </c>
      <c r="J16" s="11" t="inlineStr">
        <is>
          <t>Thomas Green Case Analysis Memo</t>
        </is>
      </c>
      <c r="K16" s="11" t="inlineStr">
        <is>
          <t>2026-09-16</t>
        </is>
      </c>
    </row>
    <row r="17">
      <c r="A17" s="7">
        <f>HYPERLINK("#'HIST-103'!A1","HIST-103")</f>
        <v/>
      </c>
      <c r="B17" s="8" t="inlineStr">
        <is>
          <t>Yes</t>
        </is>
      </c>
      <c r="C17" s="8" t="inlineStr">
        <is>
          <t>-</t>
        </is>
      </c>
      <c r="D17" s="8" t="inlineStr">
        <is>
          <t>Sleep Paper, Witchcraft Paper</t>
        </is>
      </c>
      <c r="E17" s="8" t="inlineStr">
        <is>
          <t>Yes</t>
        </is>
      </c>
      <c r="F17" s="8" t="inlineStr">
        <is>
          <t>-</t>
        </is>
      </c>
      <c r="G17" s="8" t="inlineStr">
        <is>
          <t>-</t>
        </is>
      </c>
      <c r="H17" s="8" t="inlineStr">
        <is>
          <t>Sleep Paper Due</t>
        </is>
      </c>
      <c r="I17" s="8" t="inlineStr">
        <is>
          <t>2026-09-15</t>
        </is>
      </c>
      <c r="J17" s="8" t="inlineStr">
        <is>
          <t>Sleep Paper</t>
        </is>
      </c>
      <c r="K17" s="8" t="inlineStr">
        <is>
          <t>2026-09-15</t>
        </is>
      </c>
    </row>
    <row r="19">
      <c r="A19" s="13" t="inlineStr">
        <is>
          <t>Do First - August 2026 - graded assignments (first per class always listed)</t>
        </is>
      </c>
    </row>
    <row r="20">
      <c r="A20" s="14" t="inlineStr">
        <is>
          <t>Due</t>
        </is>
      </c>
      <c r="B20" s="14" t="inlineStr">
        <is>
          <t>Class</t>
        </is>
      </c>
      <c r="C20" s="14" t="inlineStr">
        <is>
          <t>Type</t>
        </is>
      </c>
      <c r="D20" s="14" t="inlineStr">
        <is>
          <t>Graded?</t>
        </is>
      </c>
      <c r="E20" s="14" t="inlineStr">
        <is>
          <t>Item</t>
        </is>
      </c>
    </row>
    <row r="21">
      <c r="A21" s="8" t="inlineStr">
        <is>
          <t>2026-09-09</t>
        </is>
      </c>
      <c r="B21" s="8" t="inlineStr">
        <is>
          <t>BUAD-281</t>
        </is>
      </c>
      <c r="C21" s="15" t="inlineStr">
        <is>
          <t>Homework</t>
        </is>
      </c>
      <c r="D21" s="8" t="inlineStr">
        <is>
          <t>Yes</t>
        </is>
      </c>
      <c r="E21" s="8" t="inlineStr">
        <is>
          <t>Class 5 (9/9) - 2-29, 2-30, 2-40; 15 Points</t>
        </is>
      </c>
    </row>
    <row r="22">
      <c r="A22" s="11" t="inlineStr">
        <is>
          <t>2026-09-15</t>
        </is>
      </c>
      <c r="B22" s="11" t="inlineStr">
        <is>
          <t>HIST-103</t>
        </is>
      </c>
      <c r="C22" s="16" t="inlineStr">
        <is>
          <t>Assignment</t>
        </is>
      </c>
      <c r="D22" s="11" t="inlineStr">
        <is>
          <t>Yes</t>
        </is>
      </c>
      <c r="E22" s="11" t="inlineStr">
        <is>
          <t>Sleep Paper Due</t>
        </is>
      </c>
    </row>
    <row r="24">
      <c r="A24" s="17" t="inlineStr">
        <is>
          <t>Do First - August 2026 - Connect prep only (ungraded, not Participation)</t>
        </is>
      </c>
    </row>
    <row r="25">
      <c r="A25" s="18" t="inlineStr">
        <is>
          <t>Due</t>
        </is>
      </c>
      <c r="B25" s="18" t="inlineStr">
        <is>
          <t>Class</t>
        </is>
      </c>
      <c r="C25" s="18" t="inlineStr">
        <is>
          <t>Type</t>
        </is>
      </c>
      <c r="D25" s="18" t="inlineStr">
        <is>
          <t>Graded?</t>
        </is>
      </c>
      <c r="E25" s="18" t="inlineStr">
        <is>
          <t>Item</t>
        </is>
      </c>
    </row>
    <row r="26">
      <c r="A26" s="19" t="inlineStr">
        <is>
          <t>2026-08-31</t>
        </is>
      </c>
      <c r="B26" s="19" t="inlineStr">
        <is>
          <t>BUAD-304</t>
        </is>
      </c>
      <c r="C26" s="20" t="inlineStr">
        <is>
          <t>Homework</t>
        </is>
      </c>
      <c r="D26" s="21" t="inlineStr">
        <is>
          <t>No</t>
        </is>
      </c>
      <c r="E26" s="19" t="inlineStr">
        <is>
          <t>Connect: Self-Assessment 3.01 - What is my Big thinking about your topics and</t>
        </is>
      </c>
    </row>
    <row r="27">
      <c r="A27" s="22" t="inlineStr">
        <is>
          <t>2026-08-31</t>
        </is>
      </c>
      <c r="B27" s="22" t="inlineStr">
        <is>
          <t>BUAD-304</t>
        </is>
      </c>
      <c r="C27" s="23" t="inlineStr">
        <is>
          <t>Homework</t>
        </is>
      </c>
      <c r="D27" s="24" t="inlineStr">
        <is>
          <t>No</t>
        </is>
      </c>
      <c r="E27" s="22" t="inlineStr">
        <is>
          <t>Connect: Self-Assessment 3.04 - What Is Your Level</t>
        </is>
      </c>
    </row>
    <row r="29">
      <c r="A29" s="13" t="inlineStr">
        <is>
          <t>Upcoming graded assignments (next 45 days)</t>
        </is>
      </c>
    </row>
    <row r="30">
      <c r="A30" s="14" t="inlineStr">
        <is>
          <t>Due</t>
        </is>
      </c>
      <c r="B30" s="14" t="inlineStr">
        <is>
          <t>Class</t>
        </is>
      </c>
      <c r="C30" s="14" t="inlineStr">
        <is>
          <t>Type</t>
        </is>
      </c>
      <c r="D30" s="14" t="inlineStr">
        <is>
          <t>Graded?</t>
        </is>
      </c>
      <c r="E30" s="14" t="inlineStr">
        <is>
          <t>Item</t>
        </is>
      </c>
    </row>
    <row r="31">
      <c r="A31" s="8" t="inlineStr">
        <is>
          <t>2026-09-09</t>
        </is>
      </c>
      <c r="B31" s="8" t="inlineStr">
        <is>
          <t>BUAD-281</t>
        </is>
      </c>
      <c r="C31" s="15" t="inlineStr">
        <is>
          <t>Homework</t>
        </is>
      </c>
      <c r="D31" s="8" t="inlineStr">
        <is>
          <t>Yes</t>
        </is>
      </c>
      <c r="E31" s="8" t="inlineStr">
        <is>
          <t>Class 5 (9/9) - 2-29, 2-30, 2-40; 15 Points</t>
        </is>
      </c>
    </row>
    <row r="32">
      <c r="A32" s="11" t="inlineStr">
        <is>
          <t>2026-09-15</t>
        </is>
      </c>
      <c r="B32" s="11" t="inlineStr">
        <is>
          <t>HIST-103</t>
        </is>
      </c>
      <c r="C32" s="16" t="inlineStr">
        <is>
          <t>Assignment</t>
        </is>
      </c>
      <c r="D32" s="11" t="inlineStr">
        <is>
          <t>Yes</t>
        </is>
      </c>
      <c r="E32" s="11" t="inlineStr">
        <is>
          <t>Sleep Paper Due</t>
        </is>
      </c>
    </row>
    <row r="33">
      <c r="A33" s="8" t="inlineStr">
        <is>
          <t>2026-09-15</t>
        </is>
      </c>
      <c r="B33" s="8" t="inlineStr">
        <is>
          <t>HIST-103</t>
        </is>
      </c>
      <c r="C33" s="25" t="inlineStr">
        <is>
          <t>Assignment</t>
        </is>
      </c>
      <c r="D33" s="8" t="inlineStr">
        <is>
          <t>Yes</t>
        </is>
      </c>
      <c r="E33" s="8" t="inlineStr">
        <is>
          <t>Sleep Paper</t>
        </is>
      </c>
    </row>
    <row r="34">
      <c r="A34" s="11" t="inlineStr">
        <is>
          <t>2026-09-16</t>
        </is>
      </c>
      <c r="B34" s="11" t="inlineStr">
        <is>
          <t>BUAD-281</t>
        </is>
      </c>
      <c r="C34" s="46" t="inlineStr">
        <is>
          <t>Homework</t>
        </is>
      </c>
      <c r="D34" s="11" t="inlineStr">
        <is>
          <t>Yes</t>
        </is>
      </c>
      <c r="E34" s="11" t="inlineStr">
        <is>
          <t>Class 7 (9/16) - 3-24, 3-28, 3-32; 15 Points</t>
        </is>
      </c>
    </row>
    <row r="35">
      <c r="A35" s="8" t="inlineStr">
        <is>
          <t>2026-09-16</t>
        </is>
      </c>
      <c r="B35" s="8" t="inlineStr">
        <is>
          <t>BUAD-304</t>
        </is>
      </c>
      <c r="C35" s="25" t="inlineStr">
        <is>
          <t>Assignment</t>
        </is>
      </c>
      <c r="D35" s="8" t="inlineStr">
        <is>
          <t>Yes</t>
        </is>
      </c>
      <c r="E35" s="8" t="inlineStr">
        <is>
          <t>Thomas Green Case Analysis Memo</t>
        </is>
      </c>
    </row>
    <row r="36">
      <c r="A36" s="11" t="inlineStr">
        <is>
          <t>2026-09-17</t>
        </is>
      </c>
      <c r="B36" s="11" t="inlineStr">
        <is>
          <t>HIST-103</t>
        </is>
      </c>
      <c r="C36" s="16" t="inlineStr">
        <is>
          <t>Assignment</t>
        </is>
      </c>
      <c r="D36" s="11" t="inlineStr">
        <is>
          <t>Yes</t>
        </is>
      </c>
      <c r="E36" s="11" t="inlineStr">
        <is>
          <t>Final Exam</t>
        </is>
      </c>
    </row>
    <row r="37">
      <c r="A37" s="8" t="inlineStr">
        <is>
          <t>2026-09-21</t>
        </is>
      </c>
      <c r="B37" s="8" t="inlineStr">
        <is>
          <t>BUAD-281</t>
        </is>
      </c>
      <c r="C37" s="15" t="inlineStr">
        <is>
          <t>Homework</t>
        </is>
      </c>
      <c r="D37" s="8" t="inlineStr">
        <is>
          <t>Yes</t>
        </is>
      </c>
      <c r="E37" s="8" t="inlineStr">
        <is>
          <t>Class 8 (9/21) - 5-27 5-46; 10 Points</t>
        </is>
      </c>
    </row>
    <row r="38">
      <c r="A38" s="11" t="inlineStr">
        <is>
          <t>2026-09-23</t>
        </is>
      </c>
      <c r="B38" s="11" t="inlineStr">
        <is>
          <t>BUAD-281</t>
        </is>
      </c>
      <c r="C38" s="46" t="inlineStr">
        <is>
          <t>Homework</t>
        </is>
      </c>
      <c r="D38" s="11" t="inlineStr">
        <is>
          <t>Yes</t>
        </is>
      </c>
      <c r="E38" s="11" t="inlineStr">
        <is>
          <t>Class 9 (9/23) - 4-21, 4-22; 10 Points</t>
        </is>
      </c>
    </row>
    <row r="39">
      <c r="A39" s="8" t="inlineStr">
        <is>
          <t>2026-09-25</t>
        </is>
      </c>
      <c r="B39" s="8" t="inlineStr">
        <is>
          <t>BUAD-304</t>
        </is>
      </c>
      <c r="C39" s="26" t="inlineStr">
        <is>
          <t>Research</t>
        </is>
      </c>
      <c r="D39" s="8" t="inlineStr">
        <is>
          <t>Yes</t>
        </is>
      </c>
      <c r="E39" s="8" t="inlineStr">
        <is>
          <t>Research: Setup deadline (registration, prescreening, contacts)</t>
        </is>
      </c>
    </row>
    <row r="40">
      <c r="A40" s="11" t="inlineStr">
        <is>
          <t>2026-09-28</t>
        </is>
      </c>
      <c r="B40" s="11" t="inlineStr">
        <is>
          <t>BUAD-281</t>
        </is>
      </c>
      <c r="C40" s="46" t="inlineStr">
        <is>
          <t>Homework</t>
        </is>
      </c>
      <c r="D40" s="11" t="inlineStr">
        <is>
          <t>Yes</t>
        </is>
      </c>
      <c r="E40" s="11" t="inlineStr">
        <is>
          <t>Class 10 (9/28) - 8-28, 8-29; 10 Points</t>
        </is>
      </c>
    </row>
    <row r="41">
      <c r="A41" s="8" t="inlineStr">
        <is>
          <t>2026-09-28</t>
        </is>
      </c>
      <c r="B41" s="8" t="inlineStr">
        <is>
          <t>BUAD-304</t>
        </is>
      </c>
      <c r="C41" s="25" t="inlineStr">
        <is>
          <t>Assignment</t>
        </is>
      </c>
      <c r="D41" s="8" t="inlineStr">
        <is>
          <t>Yes</t>
        </is>
      </c>
      <c r="E41" s="8" t="inlineStr">
        <is>
          <t>Team project proposal &amp; team contract</t>
        </is>
      </c>
    </row>
    <row r="42">
      <c r="A42" s="11" t="inlineStr">
        <is>
          <t>2026-09-28</t>
        </is>
      </c>
      <c r="B42" s="11" t="inlineStr">
        <is>
          <t>BUAD-304</t>
        </is>
      </c>
      <c r="C42" s="16" t="inlineStr">
        <is>
          <t>Assignment</t>
        </is>
      </c>
      <c r="D42" s="11" t="inlineStr">
        <is>
          <t>Yes</t>
        </is>
      </c>
      <c r="E42" s="11" t="inlineStr">
        <is>
          <t>Proposal &amp; Team Contract</t>
        </is>
      </c>
    </row>
    <row r="43">
      <c r="A43" s="8" t="inlineStr">
        <is>
          <t>2026-09-30</t>
        </is>
      </c>
      <c r="B43" s="8" t="inlineStr">
        <is>
          <t>BUAD-281</t>
        </is>
      </c>
      <c r="C43" s="47" t="inlineStr">
        <is>
          <t>Exam</t>
        </is>
      </c>
      <c r="D43" s="8" t="inlineStr">
        <is>
          <t>Yes</t>
        </is>
      </c>
      <c r="E43" s="8" t="inlineStr">
        <is>
          <t>9/30 Midterm 1: 250 Points Chapters 1, 2, 3, 4, 5, 8</t>
        </is>
      </c>
    </row>
    <row r="44">
      <c r="A44" s="11" t="inlineStr">
        <is>
          <t>2026-09-30</t>
        </is>
      </c>
      <c r="B44" s="11" t="inlineStr">
        <is>
          <t>BUAD-281</t>
        </is>
      </c>
      <c r="C44" s="16" t="inlineStr">
        <is>
          <t>Assignment</t>
        </is>
      </c>
      <c r="D44" s="11" t="inlineStr">
        <is>
          <t>Yes</t>
        </is>
      </c>
      <c r="E44" s="11" t="inlineStr">
        <is>
          <t>Midterm 1</t>
        </is>
      </c>
    </row>
  </sheetData>
  <mergeCells count="10">
    <mergeCell ref="A12:K12"/>
    <mergeCell ref="A4:K4"/>
    <mergeCell ref="A3:K3"/>
    <mergeCell ref="A29:K29"/>
    <mergeCell ref="A24:K24"/>
    <mergeCell ref="A2:K2"/>
    <mergeCell ref="A11:K11"/>
    <mergeCell ref="A19:K19"/>
    <mergeCell ref="A1:K1"/>
    <mergeCell ref="A9:K9"/>
  </mergeCells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77B4"/>
    <outlinePr summaryBelow="1" summaryRight="1"/>
    <pageSetUpPr/>
  </sheetPr>
  <dimension ref="A1:F51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66" t="inlineStr">
        <is>
          <t>BUAD-304 — Organizational Behavior and Leadership</t>
        </is>
      </c>
    </row>
    <row r="2" ht="40" customHeight="1">
      <c r="A2" s="28">
        <f>HYPERLINK("https://raw.githubusercontent.com/vengeanceaiUSC/Syllabus-/cursor/add-syllabus-dissector-skill-a676/output/sources/buad-304-source.pdf","SEE HERE")</f>
        <v/>
      </c>
    </row>
    <row r="3">
      <c r="A3" s="29" t="inlineStr">
        <is>
          <t>Instructor</t>
        </is>
      </c>
      <c r="B3" t="inlineStr">
        <is>
          <t>Christine El Haddad</t>
        </is>
      </c>
    </row>
    <row r="4">
      <c r="A4" s="29" t="inlineStr">
        <is>
          <t>Term</t>
        </is>
      </c>
      <c r="B4" t="inlineStr">
        <is>
          <t>Fall 2026</t>
        </is>
      </c>
    </row>
    <row r="5">
      <c r="A5" s="29" t="inlineStr">
        <is>
          <t>Required for an A</t>
        </is>
      </c>
      <c r="B5" s="30" t="inlineStr">
        <is>
          <t>Curved (class rank)</t>
        </is>
      </c>
    </row>
    <row r="6">
      <c r="A6" s="29" t="inlineStr">
        <is>
          <t>Grading scale</t>
        </is>
      </c>
      <c r="B6" t="inlineStr">
        <is>
          <t>Weighted score (% of points earned) + class average + student ranking (relative grading - no fixed A threshold in syllabus)</t>
        </is>
      </c>
    </row>
    <row r="7" ht="28" customHeight="1">
      <c r="A7" s="67" t="inlineStr">
        <is>
          <t>Final Exam 25%  |  Participation 15%  |  Midterm Exam 15%  |  Team Project Paper 15%  |  Final Reflection Paper 10%  |  Presentation 10%  |  Case Analysis Assignments 5%  |  Proposal &amp; Team Contract 3%  |  Self &amp; Peer Evaluation 2%</t>
        </is>
      </c>
    </row>
    <row r="8" ht="36" customHeight="1">
      <c r="A8" s="29" t="inlineStr">
        <is>
          <t>Connect prep</t>
        </is>
      </c>
      <c r="B8" s="68" t="inlineStr">
        <is>
          <t>Ungraded - Connect self-assessments are class prep, not part of Participation or other grades.</t>
        </is>
      </c>
    </row>
    <row r="10">
      <c r="A10" s="69" t="inlineStr">
        <is>
          <t>Category</t>
        </is>
      </c>
      <c r="B10" s="69" t="inlineStr">
        <is>
          <t>Weight</t>
        </is>
      </c>
      <c r="C10" s="69" t="inlineStr">
        <is>
          <t>Start Date</t>
        </is>
      </c>
      <c r="D10" s="69" t="inlineStr">
        <is>
          <t>Due Date</t>
        </is>
      </c>
      <c r="E10" s="69" t="inlineStr">
        <is>
          <t>Group Project</t>
        </is>
      </c>
      <c r="F10" s="69" t="inlineStr">
        <is>
          <t>Details</t>
        </is>
      </c>
    </row>
    <row r="11">
      <c r="A11" s="70" t="inlineStr">
        <is>
          <t>Final Exam</t>
        </is>
      </c>
      <c r="B11" s="71" t="inlineStr">
        <is>
          <t>25%</t>
        </is>
      </c>
      <c r="C11" s="72" t="inlineStr">
        <is>
          <t>2026-08-24</t>
        </is>
      </c>
      <c r="D11" s="72" t="inlineStr">
        <is>
          <t>2026-12-09</t>
        </is>
      </c>
      <c r="E11" s="72" t="inlineStr">
        <is>
          <t>No</t>
        </is>
      </c>
      <c r="F11" s="73">
        <f>HYPERLINK("https://raw.githubusercontent.com/vengeanceaiUSC/Syllabus-/cursor/add-syllabus-dissector-skill-a676/output/documents/buad-304-final-exam.pdf","Open PDF")</f>
        <v/>
      </c>
    </row>
    <row r="12">
      <c r="A12" s="74" t="inlineStr">
        <is>
          <t>Exam</t>
        </is>
      </c>
      <c r="B12" s="75" t="inlineStr"/>
      <c r="C12" s="75" t="inlineStr">
        <is>
          <t>2026-08-24</t>
        </is>
      </c>
      <c r="D12" s="75" t="inlineStr">
        <is>
          <t>2026-12-09</t>
        </is>
      </c>
      <c r="E12" s="75" t="inlineStr"/>
      <c r="F12" s="76" t="inlineStr">
        <is>
          <t>Final Exam</t>
        </is>
      </c>
    </row>
    <row r="13">
      <c r="A13" s="77" t="inlineStr">
        <is>
          <t>Participation</t>
        </is>
      </c>
      <c r="B13" s="71" t="inlineStr">
        <is>
          <t>15%</t>
        </is>
      </c>
      <c r="C13" s="78" t="inlineStr">
        <is>
          <t>2026-08-24</t>
        </is>
      </c>
      <c r="D13" s="78" t="inlineStr">
        <is>
          <t>2026-12-04</t>
        </is>
      </c>
      <c r="E13" s="78" t="inlineStr">
        <is>
          <t>No</t>
        </is>
      </c>
      <c r="F13" s="79">
        <f>HYPERLINK("https://raw.githubusercontent.com/vengeanceaiUSC/Syllabus-/cursor/add-syllabus-dissector-skill-a676/output/documents/buad-304-participation.pdf","Open PDF")</f>
        <v/>
      </c>
    </row>
    <row r="14">
      <c r="A14" s="80" t="inlineStr">
        <is>
          <t>Research</t>
        </is>
      </c>
      <c r="B14" s="75" t="inlineStr"/>
      <c r="C14" s="75" t="inlineStr">
        <is>
          <t>2026-08-24</t>
        </is>
      </c>
      <c r="D14" s="75" t="inlineStr"/>
      <c r="E14" s="75" t="inlineStr"/>
      <c r="F14" s="76" t="inlineStr">
        <is>
          <t>Research: SONA registration opens</t>
        </is>
      </c>
    </row>
    <row r="15">
      <c r="A15" s="80" t="inlineStr">
        <is>
          <t>Research</t>
        </is>
      </c>
      <c r="B15" s="75" t="inlineStr"/>
      <c r="C15" s="75" t="inlineStr">
        <is>
          <t>2026-09-11</t>
        </is>
      </c>
      <c r="D15" s="75" t="inlineStr"/>
      <c r="E15" s="75" t="inlineStr"/>
      <c r="F15" s="76" t="inlineStr">
        <is>
          <t>Research: Prescreening questionnaire opens</t>
        </is>
      </c>
    </row>
    <row r="16">
      <c r="A16" s="80" t="inlineStr">
        <is>
          <t>Research</t>
        </is>
      </c>
      <c r="B16" s="75" t="inlineStr"/>
      <c r="C16" s="75" t="inlineStr"/>
      <c r="D16" s="75" t="inlineStr">
        <is>
          <t>2026-09-25</t>
        </is>
      </c>
      <c r="E16" s="75" t="inlineStr"/>
      <c r="F16" s="76" t="inlineStr">
        <is>
          <t>Research: Setup deadline (registration, prescreening, contacts)</t>
        </is>
      </c>
    </row>
    <row r="17">
      <c r="A17" s="80" t="inlineStr">
        <is>
          <t>Research</t>
        </is>
      </c>
      <c r="B17" s="75" t="inlineStr"/>
      <c r="C17" s="75" t="inlineStr">
        <is>
          <t>2026-09-26</t>
        </is>
      </c>
      <c r="D17" s="75" t="inlineStr"/>
      <c r="E17" s="75" t="inlineStr"/>
      <c r="F17" s="76" t="inlineStr">
        <is>
          <t>Research: Study invitations begin (after setup)</t>
        </is>
      </c>
    </row>
    <row r="18">
      <c r="A18" s="80" t="inlineStr">
        <is>
          <t>Research</t>
        </is>
      </c>
      <c r="B18" s="75" t="inlineStr"/>
      <c r="C18" s="75" t="inlineStr"/>
      <c r="D18" s="75" t="inlineStr">
        <is>
          <t>2026-10-26</t>
        </is>
      </c>
      <c r="E18" s="75" t="inlineStr"/>
      <c r="F18" s="76" t="inlineStr">
        <is>
          <t>Research: Employee contact surveys sent</t>
        </is>
      </c>
    </row>
    <row r="19">
      <c r="A19" s="80" t="inlineStr">
        <is>
          <t>Research</t>
        </is>
      </c>
      <c r="B19" s="75" t="inlineStr"/>
      <c r="C19" s="75" t="inlineStr"/>
      <c r="D19" s="75" t="inlineStr">
        <is>
          <t>2026-12-04</t>
        </is>
      </c>
      <c r="E19" s="75" t="inlineStr"/>
      <c r="F19" s="76" t="inlineStr">
        <is>
          <t>Research: Complete 2.0 research credits</t>
        </is>
      </c>
    </row>
    <row r="20">
      <c r="A20" s="70" t="inlineStr">
        <is>
          <t>Midterm Exam</t>
        </is>
      </c>
      <c r="B20" s="71" t="inlineStr">
        <is>
          <t>15%</t>
        </is>
      </c>
      <c r="C20" s="72" t="inlineStr">
        <is>
          <t>2026-08-24</t>
        </is>
      </c>
      <c r="D20" s="72" t="inlineStr">
        <is>
          <t>2026-10-14</t>
        </is>
      </c>
      <c r="E20" s="72" t="inlineStr">
        <is>
          <t>No</t>
        </is>
      </c>
      <c r="F20" s="73">
        <f>HYPERLINK("https://raw.githubusercontent.com/vengeanceaiUSC/Syllabus-/cursor/add-syllabus-dissector-skill-a676/output/documents/buad-304-midterm-exam.pdf","Open PDF")</f>
        <v/>
      </c>
    </row>
    <row r="21">
      <c r="A21" s="74" t="inlineStr">
        <is>
          <t>Exam</t>
        </is>
      </c>
      <c r="B21" s="75" t="inlineStr"/>
      <c r="C21" s="75" t="inlineStr">
        <is>
          <t>2026-08-24</t>
        </is>
      </c>
      <c r="D21" s="75" t="inlineStr">
        <is>
          <t>2026-10-14</t>
        </is>
      </c>
      <c r="E21" s="75" t="inlineStr"/>
      <c r="F21" s="76" t="inlineStr">
        <is>
          <t>Midterm Exam</t>
        </is>
      </c>
    </row>
    <row r="22">
      <c r="A22" s="77" t="inlineStr">
        <is>
          <t>Team Project Paper</t>
        </is>
      </c>
      <c r="B22" s="71" t="inlineStr">
        <is>
          <t>15%</t>
        </is>
      </c>
      <c r="C22" s="78" t="inlineStr">
        <is>
          <t>2026-08-31</t>
        </is>
      </c>
      <c r="D22" s="78" t="inlineStr">
        <is>
          <t>2026-11-09</t>
        </is>
      </c>
      <c r="E22" s="78" t="inlineStr">
        <is>
          <t>Yes</t>
        </is>
      </c>
      <c r="F22" s="79">
        <f>HYPERLINK("https://raw.githubusercontent.com/vengeanceaiUSC/Syllabus-/cursor/add-syllabus-dissector-skill-a676/output/documents/buad-304-team-project-paper.pdf","Open PDF")</f>
        <v/>
      </c>
    </row>
    <row r="23">
      <c r="A23" s="81" t="inlineStr">
        <is>
          <t>Assignment</t>
        </is>
      </c>
      <c r="B23" s="75" t="inlineStr"/>
      <c r="C23" s="75" t="inlineStr">
        <is>
          <t>2026-08-31</t>
        </is>
      </c>
      <c r="D23" s="75" t="inlineStr">
        <is>
          <t>2026-10-19</t>
        </is>
      </c>
      <c r="E23" s="75" t="inlineStr"/>
      <c r="F23" s="76" t="inlineStr">
        <is>
          <t>Team project outline</t>
        </is>
      </c>
    </row>
    <row r="24">
      <c r="A24" s="81" t="inlineStr">
        <is>
          <t>Assignment</t>
        </is>
      </c>
      <c r="B24" s="75" t="inlineStr"/>
      <c r="C24" s="75" t="inlineStr">
        <is>
          <t>2026-08-31</t>
        </is>
      </c>
      <c r="D24" s="75" t="inlineStr">
        <is>
          <t>2026-11-09</t>
        </is>
      </c>
      <c r="E24" s="75" t="inlineStr"/>
      <c r="F24" s="76" t="inlineStr">
        <is>
          <t>Team project paper</t>
        </is>
      </c>
    </row>
    <row r="25">
      <c r="A25" s="70" t="inlineStr">
        <is>
          <t>Final Reflection Paper</t>
        </is>
      </c>
      <c r="B25" s="71" t="inlineStr">
        <is>
          <t>10%</t>
        </is>
      </c>
      <c r="C25" s="72" t="inlineStr">
        <is>
          <t>2026-08-31</t>
        </is>
      </c>
      <c r="D25" s="72" t="inlineStr">
        <is>
          <t>2026-12-02</t>
        </is>
      </c>
      <c r="E25" s="72" t="inlineStr">
        <is>
          <t>No</t>
        </is>
      </c>
      <c r="F25" s="73">
        <f>HYPERLINK("https://raw.githubusercontent.com/vengeanceaiUSC/Syllabus-/cursor/add-syllabus-dissector-skill-a676/output/documents/buad-304-final-reflection-paper.pdf","Open PDF")</f>
        <v/>
      </c>
    </row>
    <row r="26">
      <c r="A26" s="81" t="inlineStr">
        <is>
          <t>Assignment</t>
        </is>
      </c>
      <c r="B26" s="75" t="inlineStr"/>
      <c r="C26" s="75" t="inlineStr">
        <is>
          <t>2026-08-31</t>
        </is>
      </c>
      <c r="D26" s="75" t="inlineStr">
        <is>
          <t>2026-12-02</t>
        </is>
      </c>
      <c r="E26" s="75" t="inlineStr"/>
      <c r="F26" s="76" t="inlineStr">
        <is>
          <t>Personal Reflection Paper</t>
        </is>
      </c>
    </row>
    <row r="27">
      <c r="A27" s="77" t="inlineStr">
        <is>
          <t>Presentation</t>
        </is>
      </c>
      <c r="B27" s="71" t="inlineStr">
        <is>
          <t>10%</t>
        </is>
      </c>
      <c r="C27" s="78" t="inlineStr">
        <is>
          <t>2026-08-31</t>
        </is>
      </c>
      <c r="D27" s="78" t="inlineStr">
        <is>
          <t>2026-11-09</t>
        </is>
      </c>
      <c r="E27" s="78" t="inlineStr">
        <is>
          <t>Yes</t>
        </is>
      </c>
      <c r="F27" s="79">
        <f>HYPERLINK("https://raw.githubusercontent.com/vengeanceaiUSC/Syllabus-/cursor/add-syllabus-dissector-skill-a676/output/documents/buad-304-presentation.pdf","Open PDF")</f>
        <v/>
      </c>
    </row>
    <row r="28">
      <c r="A28" s="81" t="inlineStr">
        <is>
          <t>Assignment</t>
        </is>
      </c>
      <c r="B28" s="75" t="inlineStr"/>
      <c r="C28" s="75" t="inlineStr">
        <is>
          <t>2026-08-31</t>
        </is>
      </c>
      <c r="D28" s="75" t="inlineStr">
        <is>
          <t>2026-11-09</t>
        </is>
      </c>
      <c r="E28" s="75" t="inlineStr"/>
      <c r="F28" s="76" t="inlineStr">
        <is>
          <t>Presentation slides</t>
        </is>
      </c>
    </row>
    <row r="29">
      <c r="A29" s="70" t="inlineStr">
        <is>
          <t>Case Analysis Assignments</t>
        </is>
      </c>
      <c r="B29" s="71" t="inlineStr">
        <is>
          <t>5%</t>
        </is>
      </c>
      <c r="C29" s="72" t="inlineStr">
        <is>
          <t>2026-08-26</t>
        </is>
      </c>
      <c r="D29" s="72" t="inlineStr">
        <is>
          <t>2026-10-21</t>
        </is>
      </c>
      <c r="E29" s="72" t="inlineStr">
        <is>
          <t>No</t>
        </is>
      </c>
      <c r="F29" s="73">
        <f>HYPERLINK("https://raw.githubusercontent.com/vengeanceaiUSC/Syllabus-/cursor/add-syllabus-dissector-skill-a676/output/documents/buad-304-case-analysis-assignments.pdf","Open PDF")</f>
        <v/>
      </c>
    </row>
    <row r="30">
      <c r="A30" s="81" t="inlineStr">
        <is>
          <t>Assignment</t>
        </is>
      </c>
      <c r="B30" s="75" t="inlineStr"/>
      <c r="C30" s="75" t="inlineStr">
        <is>
          <t>2026-08-26</t>
        </is>
      </c>
      <c r="D30" s="75" t="inlineStr">
        <is>
          <t>2026-09-16</t>
        </is>
      </c>
      <c r="E30" s="75" t="inlineStr"/>
      <c r="F30" s="76" t="inlineStr">
        <is>
          <t>Thomas Green Case Analysis Memo</t>
        </is>
      </c>
    </row>
    <row r="31">
      <c r="A31" s="81" t="inlineStr">
        <is>
          <t>Assignment</t>
        </is>
      </c>
      <c r="B31" s="75" t="inlineStr"/>
      <c r="C31" s="75" t="inlineStr">
        <is>
          <t>2026-08-26</t>
        </is>
      </c>
      <c r="D31" s="75" t="inlineStr">
        <is>
          <t>2026-10-21</t>
        </is>
      </c>
      <c r="E31" s="75" t="inlineStr"/>
      <c r="F31" s="76" t="inlineStr">
        <is>
          <t>SkillsForTomorrow Analysis Memo</t>
        </is>
      </c>
    </row>
    <row r="32">
      <c r="A32" s="77" t="inlineStr">
        <is>
          <t>Proposal &amp; Team Contract</t>
        </is>
      </c>
      <c r="B32" s="71" t="inlineStr">
        <is>
          <t>3%</t>
        </is>
      </c>
      <c r="C32" s="78" t="inlineStr">
        <is>
          <t>2026-08-31</t>
        </is>
      </c>
      <c r="D32" s="78" t="inlineStr">
        <is>
          <t>2026-09-28</t>
        </is>
      </c>
      <c r="E32" s="78" t="inlineStr">
        <is>
          <t>Yes</t>
        </is>
      </c>
      <c r="F32" s="79">
        <f>HYPERLINK("https://raw.githubusercontent.com/vengeanceaiUSC/Syllabus-/cursor/add-syllabus-dissector-skill-a676/output/documents/buad-304-proposal-team-contract.pdf","Open PDF")</f>
        <v/>
      </c>
    </row>
    <row r="33">
      <c r="A33" s="81" t="inlineStr">
        <is>
          <t>Assignment</t>
        </is>
      </c>
      <c r="B33" s="75" t="inlineStr"/>
      <c r="C33" s="75" t="inlineStr">
        <is>
          <t>2026-08-31</t>
        </is>
      </c>
      <c r="D33" s="75" t="inlineStr">
        <is>
          <t>2026-09-28</t>
        </is>
      </c>
      <c r="E33" s="75" t="inlineStr"/>
      <c r="F33" s="76" t="inlineStr">
        <is>
          <t>Team project proposal &amp; team contract</t>
        </is>
      </c>
    </row>
    <row r="34">
      <c r="A34" s="70" t="inlineStr">
        <is>
          <t>Self &amp; Peer Evaluation</t>
        </is>
      </c>
      <c r="B34" s="71" t="inlineStr">
        <is>
          <t>2%</t>
        </is>
      </c>
      <c r="C34" s="72" t="inlineStr">
        <is>
          <t>2026-08-31</t>
        </is>
      </c>
      <c r="D34" s="72" t="inlineStr">
        <is>
          <t>2026-11-18</t>
        </is>
      </c>
      <c r="E34" s="72" t="inlineStr">
        <is>
          <t>Yes</t>
        </is>
      </c>
      <c r="F34" s="73">
        <f>HYPERLINK("https://raw.githubusercontent.com/vengeanceaiUSC/Syllabus-/cursor/add-syllabus-dissector-skill-a676/output/documents/buad-304-self-peer-evaluation.pdf","Open PDF")</f>
        <v/>
      </c>
    </row>
    <row r="35">
      <c r="A35" s="81" t="inlineStr">
        <is>
          <t>Assignment</t>
        </is>
      </c>
      <c r="B35" s="75" t="inlineStr"/>
      <c r="C35" s="75" t="inlineStr">
        <is>
          <t>2026-08-31</t>
        </is>
      </c>
      <c r="D35" s="75" t="inlineStr">
        <is>
          <t>2026-11-18</t>
        </is>
      </c>
      <c r="E35" s="75" t="inlineStr"/>
      <c r="F35" s="76" t="inlineStr">
        <is>
          <t>Self &amp; peer evaluation</t>
        </is>
      </c>
    </row>
    <row r="36">
      <c r="A36" s="77" t="inlineStr">
        <is>
          <t>Personal Assessments (Connect)</t>
        </is>
      </c>
      <c r="B36" s="71" t="inlineStr">
        <is>
          <t>—</t>
        </is>
      </c>
      <c r="C36" s="78" t="inlineStr"/>
      <c r="D36" s="78" t="inlineStr">
        <is>
          <t>2026-12-20</t>
        </is>
      </c>
      <c r="E36" s="78" t="inlineStr">
        <is>
          <t>No</t>
        </is>
      </c>
      <c r="F36" s="79">
        <f>HYPERLINK("https://raw.githubusercontent.com/vengeanceaiUSC/Syllabus-/cursor/add-syllabus-dissector-skill-a676/output/documents/buad-304-personal-assessments-connect.pdf","Open PDF")</f>
        <v/>
      </c>
    </row>
    <row r="37">
      <c r="A37" s="82" t="inlineStr">
        <is>
          <t>Homework</t>
        </is>
      </c>
      <c r="B37" s="75" t="inlineStr"/>
      <c r="C37" s="75" t="inlineStr"/>
      <c r="D37" s="75" t="inlineStr">
        <is>
          <t>2026-08-31</t>
        </is>
      </c>
      <c r="E37" s="75" t="inlineStr"/>
      <c r="F37" s="76" t="inlineStr">
        <is>
          <t>Connect: Self-Assessment 3.01 - What is my Big thinking about your topics and</t>
        </is>
      </c>
    </row>
    <row r="38">
      <c r="A38" s="82" t="inlineStr">
        <is>
          <t>Homework</t>
        </is>
      </c>
      <c r="B38" s="75" t="inlineStr"/>
      <c r="C38" s="75" t="inlineStr"/>
      <c r="D38" s="75" t="inlineStr">
        <is>
          <t>2026-08-31</t>
        </is>
      </c>
      <c r="E38" s="75" t="inlineStr"/>
      <c r="F38" s="76" t="inlineStr">
        <is>
          <t>Connect: Self-Assessment 3.04 - What Is Your Level</t>
        </is>
      </c>
    </row>
    <row r="39">
      <c r="A39" s="82" t="inlineStr">
        <is>
          <t>Homework</t>
        </is>
      </c>
      <c r="B39" s="75" t="inlineStr"/>
      <c r="C39" s="75" t="inlineStr"/>
      <c r="D39" s="75" t="inlineStr">
        <is>
          <t>2026-09-02</t>
        </is>
      </c>
      <c r="E39" s="75" t="inlineStr"/>
      <c r="F39" s="76" t="inlineStr">
        <is>
          <t>Connect: Self-Assessment 5.01 - Assessing Your</t>
        </is>
      </c>
    </row>
    <row r="40">
      <c r="A40" s="82" t="inlineStr">
        <is>
          <t>Homework</t>
        </is>
      </c>
      <c r="B40" s="75" t="inlineStr"/>
      <c r="C40" s="75" t="inlineStr"/>
      <c r="D40" s="75" t="inlineStr">
        <is>
          <t>2026-09-04</t>
        </is>
      </c>
      <c r="E40" s="75" t="inlineStr"/>
      <c r="F40" s="76" t="inlineStr">
        <is>
          <t>Connect: Sharpen Companion</t>
        </is>
      </c>
    </row>
    <row r="41">
      <c r="A41" s="82" t="inlineStr">
        <is>
          <t>Homework</t>
        </is>
      </c>
      <c r="B41" s="75" t="inlineStr"/>
      <c r="C41" s="75" t="inlineStr"/>
      <c r="D41" s="75" t="inlineStr">
        <is>
          <t>2026-09-09</t>
        </is>
      </c>
      <c r="E41" s="75" t="inlineStr"/>
      <c r="F41" s="76" t="inlineStr">
        <is>
          <t>Connect: Self-Assessment 11.01 - What is my</t>
        </is>
      </c>
    </row>
    <row r="42">
      <c r="A42" s="82" t="inlineStr">
        <is>
          <t>Homework</t>
        </is>
      </c>
      <c r="B42" s="75" t="inlineStr"/>
      <c r="C42" s="75" t="inlineStr"/>
      <c r="D42" s="75" t="inlineStr">
        <is>
          <t>2026-09-09</t>
        </is>
      </c>
      <c r="E42" s="75" t="inlineStr"/>
      <c r="F42" s="76" t="inlineStr">
        <is>
          <t>Connect: Self-Assessment 11.02 - What is my</t>
        </is>
      </c>
    </row>
    <row r="43">
      <c r="A43" s="82" t="inlineStr">
        <is>
          <t>Homework</t>
        </is>
      </c>
      <c r="B43" s="75" t="inlineStr"/>
      <c r="C43" s="75" t="inlineStr"/>
      <c r="D43" s="75" t="inlineStr">
        <is>
          <t>2026-09-16</t>
        </is>
      </c>
      <c r="E43" s="75" t="inlineStr"/>
      <c r="F43" s="76" t="inlineStr">
        <is>
          <t>Connect: Self-Assessment 12.01 - What kind of</t>
        </is>
      </c>
    </row>
    <row r="44">
      <c r="A44" s="82" t="inlineStr">
        <is>
          <t>Homework</t>
        </is>
      </c>
      <c r="B44" s="75" t="inlineStr"/>
      <c r="C44" s="75" t="inlineStr"/>
      <c r="D44" s="75" t="inlineStr">
        <is>
          <t>2026-09-28</t>
        </is>
      </c>
      <c r="E44" s="75" t="inlineStr"/>
      <c r="F44" s="76" t="inlineStr">
        <is>
          <t>Connect: Self-Assessment 10.5 - Preferred Conflict</t>
        </is>
      </c>
    </row>
    <row r="45">
      <c r="A45" s="82" t="inlineStr">
        <is>
          <t>Homework</t>
        </is>
      </c>
      <c r="B45" s="75" t="inlineStr"/>
      <c r="C45" s="75" t="inlineStr"/>
      <c r="D45" s="75" t="inlineStr">
        <is>
          <t>2026-09-28</t>
        </is>
      </c>
      <c r="E45" s="75" t="inlineStr"/>
      <c r="F45" s="76" t="inlineStr">
        <is>
          <t>Connect: Self-Assessment 9.01 - Assessing My</t>
        </is>
      </c>
    </row>
    <row r="46">
      <c r="A46" s="82" t="inlineStr">
        <is>
          <t>Homework</t>
        </is>
      </c>
      <c r="B46" s="75" t="inlineStr"/>
      <c r="C46" s="75" t="inlineStr"/>
      <c r="D46" s="75" t="inlineStr">
        <is>
          <t>2026-10-19</t>
        </is>
      </c>
      <c r="E46" s="75" t="inlineStr"/>
      <c r="F46" s="76" t="inlineStr">
        <is>
          <t>Connect: Self-Assessment 8.01 - Group</t>
        </is>
      </c>
    </row>
    <row r="47">
      <c r="A47" s="82" t="inlineStr">
        <is>
          <t>Homework</t>
        </is>
      </c>
      <c r="B47" s="75" t="inlineStr"/>
      <c r="C47" s="75" t="inlineStr"/>
      <c r="D47" s="75" t="inlineStr">
        <is>
          <t>2026-11-04</t>
        </is>
      </c>
      <c r="E47" s="75" t="inlineStr"/>
      <c r="F47" s="76" t="inlineStr">
        <is>
          <t>Connect: Self-Assessment 14.02 - What Type of Organizational Culture Do I</t>
        </is>
      </c>
    </row>
    <row r="48">
      <c r="A48" s="82" t="inlineStr">
        <is>
          <t>Homework</t>
        </is>
      </c>
      <c r="B48" s="75" t="inlineStr"/>
      <c r="C48" s="75" t="inlineStr"/>
      <c r="D48" s="75" t="inlineStr">
        <is>
          <t>2026-11-30</t>
        </is>
      </c>
      <c r="E48" s="75" t="inlineStr"/>
      <c r="F48" s="76" t="inlineStr">
        <is>
          <t>Connect: Self-Assessment 16.02 - What Is Your</t>
        </is>
      </c>
    </row>
    <row r="49">
      <c r="A49" s="82" t="inlineStr">
        <is>
          <t>Homework</t>
        </is>
      </c>
      <c r="B49" s="75" t="inlineStr"/>
      <c r="C49" s="75" t="inlineStr"/>
      <c r="D49" s="75" t="inlineStr">
        <is>
          <t>2026-11-30</t>
        </is>
      </c>
      <c r="E49" s="75" t="inlineStr"/>
      <c r="F49" s="76" t="inlineStr">
        <is>
          <t>Connect: Self-Assessment 16.03 - Assessing Your</t>
        </is>
      </c>
    </row>
    <row r="50">
      <c r="A50" s="82" t="inlineStr">
        <is>
          <t>Homework</t>
        </is>
      </c>
      <c r="B50" s="75" t="inlineStr"/>
      <c r="C50" s="75" t="inlineStr"/>
      <c r="D50" s="75" t="inlineStr">
        <is>
          <t>2026-12-20</t>
        </is>
      </c>
      <c r="E50" s="75" t="inlineStr"/>
      <c r="F50" s="76" t="inlineStr">
        <is>
          <t>Connect: Self-Assessment 12.02 - Which influence</t>
        </is>
      </c>
    </row>
    <row r="51">
      <c r="A51" s="29" t="inlineStr">
        <is>
          <t>Total</t>
        </is>
      </c>
      <c r="B51" s="83" t="inlineStr">
        <is>
          <t>100%</t>
        </is>
      </c>
    </row>
  </sheetData>
  <mergeCells count="5">
    <mergeCell ref="A2:F2"/>
    <mergeCell ref="B6:F6"/>
    <mergeCell ref="A1:F1"/>
    <mergeCell ref="B8:F8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62728"/>
    <outlinePr summaryBelow="1" summaryRight="1"/>
    <pageSetUpPr/>
  </sheetPr>
  <dimension ref="A1:F44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27" t="inlineStr">
        <is>
          <t>HIST-103 — The Emergence of Modern Europe</t>
        </is>
      </c>
    </row>
    <row r="2" ht="40" customHeight="1">
      <c r="A2" s="28">
        <f>HYPERLINK("https://raw.githubusercontent.com/vengeanceaiUSC/Syllabus-/cursor/add-syllabus-dissector-skill-a676/output/sources/hist-103-source.pdf","SEE HERE")</f>
        <v/>
      </c>
    </row>
    <row r="3">
      <c r="A3" s="29" t="inlineStr">
        <is>
          <t>Instructor</t>
        </is>
      </c>
      <c r="B3" t="inlineStr">
        <is>
          <t>Dr. Lindsay O'Neill</t>
        </is>
      </c>
    </row>
    <row r="4">
      <c r="A4" s="29" t="inlineStr">
        <is>
          <t>Term</t>
        </is>
      </c>
      <c r="B4" t="inlineStr">
        <is>
          <t>Fall 2026</t>
        </is>
      </c>
    </row>
    <row r="5">
      <c r="A5" s="29" t="inlineStr">
        <is>
          <t>Required for an A</t>
        </is>
      </c>
      <c r="B5" s="30" t="inlineStr">
        <is>
          <t>93% (100-93)</t>
        </is>
      </c>
    </row>
    <row r="6">
      <c r="A6" s="29" t="inlineStr">
        <is>
          <t>Grading scale</t>
        </is>
      </c>
      <c r="B6" t="inlineStr">
        <is>
          <t>A: 100-93; A-: 92-90; B+: 89-87; B: 86-83; B-: 82-80; C+: 79-77; C: 76-73; C- 72-70 D+: 69-67; D: 66-63; D-: 62-60; F: 59-0</t>
        </is>
      </c>
    </row>
    <row r="7" ht="28" customHeight="1">
      <c r="A7" s="31" t="inlineStr">
        <is>
          <t>Sleep Paper 20%  |  Witchcraft Paper 20%  |  Mid-term 20%  |  Final Exam 20%  |  Discussion Section 15%  |  Identification Quizzes 5%</t>
        </is>
      </c>
    </row>
    <row r="9">
      <c r="A9" s="32" t="inlineStr">
        <is>
          <t>Category</t>
        </is>
      </c>
      <c r="B9" s="32" t="inlineStr">
        <is>
          <t>Weight</t>
        </is>
      </c>
      <c r="C9" s="32" t="inlineStr">
        <is>
          <t>Start Date</t>
        </is>
      </c>
      <c r="D9" s="32" t="inlineStr">
        <is>
          <t>Due Date</t>
        </is>
      </c>
      <c r="E9" s="32" t="inlineStr">
        <is>
          <t>Group Project</t>
        </is>
      </c>
      <c r="F9" s="32" t="inlineStr">
        <is>
          <t>Details</t>
        </is>
      </c>
    </row>
    <row r="10">
      <c r="A10" s="33" t="inlineStr">
        <is>
          <t>Sleep Paper</t>
        </is>
      </c>
      <c r="B10" s="96" t="inlineStr">
        <is>
          <t>20%</t>
        </is>
      </c>
      <c r="C10" s="97" t="inlineStr"/>
      <c r="D10" s="97" t="inlineStr">
        <is>
          <t>2026-09-15</t>
        </is>
      </c>
      <c r="E10" s="97" t="inlineStr">
        <is>
          <t>No</t>
        </is>
      </c>
      <c r="F10" s="36">
        <f>HYPERLINK("https://raw.githubusercontent.com/vengeanceaiUSC/Syllabus-/cursor/add-syllabus-dissector-skill-a676/output/documents/hist-103-sleep-paper.pdf","Open PDF")</f>
        <v/>
      </c>
    </row>
    <row r="11">
      <c r="A11" s="37" t="inlineStr">
        <is>
          <t>Assignment</t>
        </is>
      </c>
      <c r="B11" s="98" t="inlineStr"/>
      <c r="C11" s="98" t="inlineStr"/>
      <c r="D11" s="98" t="inlineStr">
        <is>
          <t>2026-09-15</t>
        </is>
      </c>
      <c r="E11" s="98" t="inlineStr"/>
      <c r="F11" s="39" t="inlineStr">
        <is>
          <t>Sleep Paper Due</t>
        </is>
      </c>
    </row>
    <row r="12">
      <c r="A12" s="40" t="inlineStr">
        <is>
          <t>Witchcraft Paper</t>
        </is>
      </c>
      <c r="B12" s="96" t="inlineStr">
        <is>
          <t>20%</t>
        </is>
      </c>
      <c r="C12" s="99" t="inlineStr"/>
      <c r="D12" s="99" t="inlineStr">
        <is>
          <t>2026-11-10</t>
        </is>
      </c>
      <c r="E12" s="99" t="inlineStr">
        <is>
          <t>No</t>
        </is>
      </c>
      <c r="F12" s="42">
        <f>HYPERLINK("https://raw.githubusercontent.com/vengeanceaiUSC/Syllabus-/cursor/add-syllabus-dissector-skill-a676/output/documents/hist-103-witchcraft-paper.pdf","Open PDF")</f>
        <v/>
      </c>
    </row>
    <row r="13">
      <c r="A13" s="37" t="inlineStr">
        <is>
          <t>Assignment</t>
        </is>
      </c>
      <c r="B13" s="98" t="inlineStr"/>
      <c r="C13" s="98" t="inlineStr"/>
      <c r="D13" s="98" t="inlineStr">
        <is>
          <t>2026-11-10</t>
        </is>
      </c>
      <c r="E13" s="98" t="inlineStr"/>
      <c r="F13" s="39" t="inlineStr">
        <is>
          <t>Witchcraft Paper Due</t>
        </is>
      </c>
    </row>
    <row r="14">
      <c r="A14" s="33" t="inlineStr">
        <is>
          <t>Mid-term</t>
        </is>
      </c>
      <c r="B14" s="96" t="inlineStr">
        <is>
          <t>20%</t>
        </is>
      </c>
      <c r="C14" s="97" t="inlineStr"/>
      <c r="D14" s="97" t="inlineStr">
        <is>
          <t>2026-10-09</t>
        </is>
      </c>
      <c r="E14" s="97" t="inlineStr">
        <is>
          <t>No</t>
        </is>
      </c>
      <c r="F14" s="36">
        <f>HYPERLINK("https://raw.githubusercontent.com/vengeanceaiUSC/Syllabus-/cursor/add-syllabus-dissector-skill-a676/output/documents/hist-103-mid-term.pdf","Open PDF")</f>
        <v/>
      </c>
    </row>
    <row r="15">
      <c r="A15" s="43" t="inlineStr">
        <is>
          <t>Exam</t>
        </is>
      </c>
      <c r="B15" s="98" t="inlineStr"/>
      <c r="C15" s="98" t="inlineStr"/>
      <c r="D15" s="98" t="inlineStr">
        <is>
          <t>2026-10-06</t>
        </is>
      </c>
      <c r="E15" s="98" t="inlineStr"/>
      <c r="F15" s="39" t="inlineStr">
        <is>
          <t>Midterm Exam</t>
        </is>
      </c>
    </row>
    <row r="16">
      <c r="A16" s="40" t="inlineStr">
        <is>
          <t>Final Exam</t>
        </is>
      </c>
      <c r="B16" s="96" t="inlineStr">
        <is>
          <t>20%</t>
        </is>
      </c>
      <c r="C16" s="99" t="inlineStr"/>
      <c r="D16" s="99" t="inlineStr">
        <is>
          <t>2026-09-17</t>
        </is>
      </c>
      <c r="E16" s="99" t="inlineStr">
        <is>
          <t>No</t>
        </is>
      </c>
      <c r="F16" s="42">
        <f>HYPERLINK("https://raw.githubusercontent.com/vengeanceaiUSC/Syllabus-/cursor/add-syllabus-dissector-skill-a676/output/documents/hist-103-final-exam.pdf","Open PDF")</f>
        <v/>
      </c>
    </row>
    <row r="17">
      <c r="A17" s="43" t="inlineStr">
        <is>
          <t>Exam</t>
        </is>
      </c>
      <c r="B17" s="98" t="inlineStr"/>
      <c r="C17" s="98" t="inlineStr"/>
      <c r="D17" s="98" t="inlineStr">
        <is>
          <t>2026-12-10</t>
        </is>
      </c>
      <c r="E17" s="98" t="inlineStr"/>
      <c r="F17" s="39" t="inlineStr">
        <is>
          <t>Final Exam</t>
        </is>
      </c>
    </row>
    <row r="18">
      <c r="A18" s="33" t="inlineStr">
        <is>
          <t>Discussion Section</t>
        </is>
      </c>
      <c r="B18" s="96" t="inlineStr">
        <is>
          <t>15%</t>
        </is>
      </c>
      <c r="C18" s="97" t="inlineStr"/>
      <c r="D18" s="97" t="inlineStr">
        <is>
          <t>2026-11-12</t>
        </is>
      </c>
      <c r="E18" s="97" t="inlineStr">
        <is>
          <t>Yes</t>
        </is>
      </c>
      <c r="F18" s="36">
        <f>HYPERLINK("https://raw.githubusercontent.com/vengeanceaiUSC/Syllabus-/cursor/add-syllabus-dissector-skill-a676/output/documents/hist-103-discussion-section.pdf","Open PDF")</f>
        <v/>
      </c>
    </row>
    <row r="19">
      <c r="A19" s="44" t="inlineStr">
        <is>
          <t>Reading</t>
        </is>
      </c>
      <c r="B19" s="98" t="inlineStr"/>
      <c r="C19" s="98" t="inlineStr">
        <is>
          <t>2026-08-25</t>
        </is>
      </c>
      <c r="D19" s="98" t="inlineStr">
        <is>
          <t>2026-08-29</t>
        </is>
      </c>
      <c r="E19" s="98" t="inlineStr"/>
      <c r="F19" s="39" t="inlineStr">
        <is>
          <t>Week Aug 25-29: Intro &amp; Black Death</t>
        </is>
      </c>
    </row>
    <row r="20">
      <c r="A20" s="44" t="inlineStr">
        <is>
          <t>Reading</t>
        </is>
      </c>
      <c r="B20" s="98" t="inlineStr"/>
      <c r="C20" s="98" t="inlineStr">
        <is>
          <t>2026-08-25</t>
        </is>
      </c>
      <c r="D20" s="98" t="inlineStr">
        <is>
          <t>2026-08-29</t>
        </is>
      </c>
      <c r="E20" s="98" t="inlineStr"/>
      <c r="F20" s="39" t="inlineStr">
        <is>
          <t>Week Aug 25-29: Intro &amp; Black Death - Section reading 1: Lizzie Wade, “From Black Death to fatal flu, past pandemics sho</t>
        </is>
      </c>
    </row>
    <row r="21">
      <c r="A21" s="44" t="inlineStr">
        <is>
          <t>Reading</t>
        </is>
      </c>
      <c r="B21" s="98" t="inlineStr"/>
      <c r="C21" s="98" t="inlineStr">
        <is>
          <t>2026-09-01</t>
        </is>
      </c>
      <c r="D21" s="98" t="inlineStr">
        <is>
          <t>2026-09-04</t>
        </is>
      </c>
      <c r="E21" s="98" t="inlineStr"/>
      <c r="F21" s="39" t="inlineStr">
        <is>
          <t>Week Sep 1-4: Everyday Life</t>
        </is>
      </c>
    </row>
    <row r="22">
      <c r="A22" s="44" t="inlineStr">
        <is>
          <t>Reading</t>
        </is>
      </c>
      <c r="B22" s="98" t="inlineStr"/>
      <c r="C22" s="98" t="inlineStr">
        <is>
          <t>2026-09-01</t>
        </is>
      </c>
      <c r="D22" s="98" t="inlineStr">
        <is>
          <t>2026-09-04</t>
        </is>
      </c>
      <c r="E22" s="98" t="inlineStr"/>
      <c r="F22" s="39" t="inlineStr">
        <is>
          <t>Week Sep 1-4: Everyday Life - Section reading 1: A Roger Ekirch, “Sleep we have lost: Pre-Industrial Slumber in the Brit</t>
        </is>
      </c>
    </row>
    <row r="23">
      <c r="A23" s="44" t="inlineStr">
        <is>
          <t>Reading</t>
        </is>
      </c>
      <c r="B23" s="98" t="inlineStr"/>
      <c r="C23" s="98" t="inlineStr">
        <is>
          <t>2026-09-08</t>
        </is>
      </c>
      <c r="D23" s="98" t="inlineStr">
        <is>
          <t>2026-09-11</t>
        </is>
      </c>
      <c r="E23" s="98" t="inlineStr"/>
      <c r="F23" s="39" t="inlineStr">
        <is>
          <t>Week Sep 8-11: Renaissance</t>
        </is>
      </c>
    </row>
    <row r="24">
      <c r="A24" s="44" t="inlineStr">
        <is>
          <t>Reading</t>
        </is>
      </c>
      <c r="B24" s="98" t="inlineStr"/>
      <c r="C24" s="98" t="inlineStr">
        <is>
          <t>2026-09-08</t>
        </is>
      </c>
      <c r="D24" s="98" t="inlineStr">
        <is>
          <t>2026-09-11</t>
        </is>
      </c>
      <c r="E24" s="98" t="inlineStr"/>
      <c r="F24" s="39" t="inlineStr">
        <is>
          <t>Week Sep 8-11: Renaissance - Section reading 1: Kay Daly, “Diverting the Flood of History: Ada Palmer’s Inventing the Re</t>
        </is>
      </c>
    </row>
    <row r="25">
      <c r="A25" s="44" t="inlineStr">
        <is>
          <t>Reading</t>
        </is>
      </c>
      <c r="B25" s="98" t="inlineStr"/>
      <c r="C25" s="98" t="inlineStr">
        <is>
          <t>2026-09-15</t>
        </is>
      </c>
      <c r="D25" s="98" t="inlineStr">
        <is>
          <t>2026-09-18</t>
        </is>
      </c>
      <c r="E25" s="98" t="inlineStr"/>
      <c r="F25" s="39" t="inlineStr">
        <is>
          <t>Week Sep 15-18: Renaissance</t>
        </is>
      </c>
    </row>
    <row r="26">
      <c r="A26" s="44" t="inlineStr">
        <is>
          <t>Reading</t>
        </is>
      </c>
      <c r="B26" s="98" t="inlineStr"/>
      <c r="C26" s="98" t="inlineStr">
        <is>
          <t>2026-09-15</t>
        </is>
      </c>
      <c r="D26" s="98" t="inlineStr">
        <is>
          <t>2026-09-18</t>
        </is>
      </c>
      <c r="E26" s="98" t="inlineStr"/>
      <c r="F26" s="39" t="inlineStr">
        <is>
          <t>Week Sep 15-18: Renaissance - Section reading 1: Vasari, Lives of the Artists: Leonardo da Vinci &amp; Properzia de’ Rossi V</t>
        </is>
      </c>
    </row>
    <row r="27">
      <c r="A27" s="44" t="inlineStr">
        <is>
          <t>Reading</t>
        </is>
      </c>
      <c r="B27" s="98" t="inlineStr"/>
      <c r="C27" s="98" t="inlineStr">
        <is>
          <t>2026-09-20</t>
        </is>
      </c>
      <c r="D27" s="98" t="inlineStr">
        <is>
          <t>2026-09-24</t>
        </is>
      </c>
      <c r="E27" s="98" t="inlineStr"/>
      <c r="F27" s="39" t="inlineStr">
        <is>
          <t>Week Sep 20-24: European Expansion</t>
        </is>
      </c>
    </row>
    <row r="28">
      <c r="A28" s="44" t="inlineStr">
        <is>
          <t>Reading</t>
        </is>
      </c>
      <c r="B28" s="98" t="inlineStr"/>
      <c r="C28" s="98" t="inlineStr">
        <is>
          <t>2026-09-20</t>
        </is>
      </c>
      <c r="D28" s="98" t="inlineStr">
        <is>
          <t>2026-09-24</t>
        </is>
      </c>
      <c r="E28" s="98" t="inlineStr"/>
      <c r="F28" s="39" t="inlineStr">
        <is>
          <t>Week Sep 20-24: European Expansion - Section reading 1: Jerry Brotton, The Renaissance Bazaar, Chap 1 (15 pgs) Read Colu</t>
        </is>
      </c>
    </row>
    <row r="29">
      <c r="A29" s="44" t="inlineStr">
        <is>
          <t>Reading</t>
        </is>
      </c>
      <c r="B29" s="98" t="inlineStr"/>
      <c r="C29" s="98" t="inlineStr">
        <is>
          <t>2026-09-20</t>
        </is>
      </c>
      <c r="D29" s="98" t="inlineStr">
        <is>
          <t>2026-09-24</t>
        </is>
      </c>
      <c r="E29" s="98" t="inlineStr"/>
      <c r="F29" s="39" t="inlineStr">
        <is>
          <t>Week Sep 20-24: European Expansion - Section reading 2: Bernal Diaz del Castillo, The True History of the Conquest of Ne</t>
        </is>
      </c>
    </row>
    <row r="30">
      <c r="A30" s="44" t="inlineStr">
        <is>
          <t>Reading</t>
        </is>
      </c>
      <c r="B30" s="98" t="inlineStr"/>
      <c r="C30" s="98" t="inlineStr">
        <is>
          <t>2026-10-06</t>
        </is>
      </c>
      <c r="D30" s="98" t="inlineStr">
        <is>
          <t>2026-10-09</t>
        </is>
      </c>
      <c r="E30" s="98" t="inlineStr"/>
      <c r="F30" s="39" t="inlineStr">
        <is>
          <t>Week Oct 6-9: Midterm &amp; Break</t>
        </is>
      </c>
    </row>
    <row r="31">
      <c r="A31" s="44" t="inlineStr">
        <is>
          <t>Reading</t>
        </is>
      </c>
      <c r="B31" s="98" t="inlineStr"/>
      <c r="C31" s="98" t="inlineStr">
        <is>
          <t>2026-10-13</t>
        </is>
      </c>
      <c r="D31" s="98" t="inlineStr">
        <is>
          <t>2026-10-16</t>
        </is>
      </c>
      <c r="E31" s="98" t="inlineStr"/>
      <c r="F31" s="39" t="inlineStr">
        <is>
          <t>Week Oct 13-16: The Reformation</t>
        </is>
      </c>
    </row>
    <row r="32">
      <c r="A32" s="44" t="inlineStr">
        <is>
          <t>Reading</t>
        </is>
      </c>
      <c r="B32" s="98" t="inlineStr"/>
      <c r="C32" s="98" t="inlineStr">
        <is>
          <t>2026-10-20</t>
        </is>
      </c>
      <c r="D32" s="98" t="inlineStr">
        <is>
          <t>2026-10-23</t>
        </is>
      </c>
      <c r="E32" s="98" t="inlineStr"/>
      <c r="F32" s="39" t="inlineStr">
        <is>
          <t>Week Oct 20-23: The Reformation</t>
        </is>
      </c>
    </row>
    <row r="33">
      <c r="A33" s="44" t="inlineStr">
        <is>
          <t>Reading</t>
        </is>
      </c>
      <c r="B33" s="98" t="inlineStr"/>
      <c r="C33" s="98" t="inlineStr">
        <is>
          <t>2026-10-27</t>
        </is>
      </c>
      <c r="D33" s="98" t="inlineStr">
        <is>
          <t>2026-10-30</t>
        </is>
      </c>
      <c r="E33" s="98" t="inlineStr"/>
      <c r="F33" s="39" t="inlineStr">
        <is>
          <t>Week Oct 27-30: Reformation</t>
        </is>
      </c>
    </row>
    <row r="34">
      <c r="A34" s="44" t="inlineStr">
        <is>
          <t>Reading</t>
        </is>
      </c>
      <c r="B34" s="98" t="inlineStr"/>
      <c r="C34" s="98" t="inlineStr">
        <is>
          <t>2026-10-27</t>
        </is>
      </c>
      <c r="D34" s="98" t="inlineStr">
        <is>
          <t>2026-10-30</t>
        </is>
      </c>
      <c r="E34" s="98" t="inlineStr"/>
      <c r="F34" s="39" t="inlineStr">
        <is>
          <t xml:space="preserve">Week Oct 27-30: Reformation - Section reading 1: Barbara Diefendorf, ed., The Saint Bartholomew’s Day Massacre: A Brief </t>
        </is>
      </c>
    </row>
    <row r="35">
      <c r="A35" s="44" t="inlineStr">
        <is>
          <t>Reading</t>
        </is>
      </c>
      <c r="B35" s="98" t="inlineStr"/>
      <c r="C35" s="98" t="inlineStr">
        <is>
          <t>2026-11-03</t>
        </is>
      </c>
      <c r="D35" s="98" t="inlineStr">
        <is>
          <t>2026-11-06</t>
        </is>
      </c>
      <c r="E35" s="98" t="inlineStr"/>
      <c r="F35" s="39" t="inlineStr">
        <is>
          <t>Week Nov 3-6: Witches &amp; Science</t>
        </is>
      </c>
    </row>
    <row r="36">
      <c r="A36" s="44" t="inlineStr">
        <is>
          <t>Reading</t>
        </is>
      </c>
      <c r="B36" s="98" t="inlineStr"/>
      <c r="C36" s="98" t="inlineStr">
        <is>
          <t>2026-11-03</t>
        </is>
      </c>
      <c r="D36" s="98" t="inlineStr">
        <is>
          <t>2026-11-06</t>
        </is>
      </c>
      <c r="E36" s="98" t="inlineStr"/>
      <c r="F36" s="39" t="inlineStr">
        <is>
          <t>Week Nov 3-6: Witches &amp; Science - Section reading 1: Brian Levack, The Witchcraft Sourcebook, Chaps 36-44, 46-47</t>
        </is>
      </c>
    </row>
    <row r="37">
      <c r="A37" s="44" t="inlineStr">
        <is>
          <t>Reading</t>
        </is>
      </c>
      <c r="B37" s="98" t="inlineStr"/>
      <c r="C37" s="98" t="inlineStr">
        <is>
          <t>2026-11-10</t>
        </is>
      </c>
      <c r="D37" s="98" t="inlineStr">
        <is>
          <t>2026-11-13</t>
        </is>
      </c>
      <c r="E37" s="98" t="inlineStr"/>
      <c r="F37" s="39" t="inlineStr">
        <is>
          <t>Week Nov 10-13: Enlightenment</t>
        </is>
      </c>
    </row>
    <row r="38">
      <c r="A38" s="44" t="inlineStr">
        <is>
          <t>Reading</t>
        </is>
      </c>
      <c r="B38" s="98" t="inlineStr"/>
      <c r="C38" s="98" t="inlineStr">
        <is>
          <t>2026-11-10</t>
        </is>
      </c>
      <c r="D38" s="98" t="inlineStr">
        <is>
          <t>2026-11-13</t>
        </is>
      </c>
      <c r="E38" s="98" t="inlineStr"/>
      <c r="F38" s="39" t="inlineStr">
        <is>
          <t>Week Nov 10-13: Enlightenment - Section reading 1: Excerpt: John Locke, Two Treatises of Government (1689) Excerpt: Rous</t>
        </is>
      </c>
    </row>
    <row r="39">
      <c r="A39" s="44" t="inlineStr">
        <is>
          <t>Reading</t>
        </is>
      </c>
      <c r="B39" s="98" t="inlineStr"/>
      <c r="C39" s="98" t="inlineStr">
        <is>
          <t>2026-11-17</t>
        </is>
      </c>
      <c r="D39" s="98" t="inlineStr">
        <is>
          <t>2026-11-20</t>
        </is>
      </c>
      <c r="E39" s="98" t="inlineStr"/>
      <c r="F39" s="39" t="inlineStr">
        <is>
          <t>Week Nov 17-20: Enlightenment</t>
        </is>
      </c>
    </row>
    <row r="40">
      <c r="A40" s="44" t="inlineStr">
        <is>
          <t>Reading</t>
        </is>
      </c>
      <c r="B40" s="98" t="inlineStr"/>
      <c r="C40" s="98" t="inlineStr">
        <is>
          <t>2026-11-17</t>
        </is>
      </c>
      <c r="D40" s="98" t="inlineStr">
        <is>
          <t>2026-11-20</t>
        </is>
      </c>
      <c r="E40" s="98" t="inlineStr"/>
      <c r="F40" s="39" t="inlineStr">
        <is>
          <t xml:space="preserve">Week Nov 17-20: Enlightenment - Section reading 1: Video: Africa &amp; Britain, A Forgotten History, Episode 2: Freedom (50 </t>
        </is>
      </c>
    </row>
    <row r="41">
      <c r="A41" s="44" t="inlineStr">
        <is>
          <t>Reading</t>
        </is>
      </c>
      <c r="B41" s="98" t="inlineStr"/>
      <c r="C41" s="98" t="inlineStr">
        <is>
          <t>2026-12-01</t>
        </is>
      </c>
      <c r="D41" s="98" t="inlineStr">
        <is>
          <t>2026-12-04</t>
        </is>
      </c>
      <c r="E41" s="98" t="inlineStr"/>
      <c r="F41" s="39" t="inlineStr">
        <is>
          <t>Week Dec 1-4: Modern Europe?</t>
        </is>
      </c>
    </row>
    <row r="42">
      <c r="A42" s="40" t="inlineStr">
        <is>
          <t>Identification Quizzes</t>
        </is>
      </c>
      <c r="B42" s="96" t="inlineStr">
        <is>
          <t>5%</t>
        </is>
      </c>
      <c r="C42" s="99" t="inlineStr"/>
      <c r="D42" s="99" t="inlineStr">
        <is>
          <t>2026-12-10</t>
        </is>
      </c>
      <c r="E42" s="99" t="inlineStr">
        <is>
          <t>No</t>
        </is>
      </c>
      <c r="F42" s="42">
        <f>HYPERLINK("https://raw.githubusercontent.com/vengeanceaiUSC/Syllabus-/cursor/add-syllabus-dissector-skill-a676/output/documents/hist-103-identification-quizzes.pdf","Open PDF")</f>
        <v/>
      </c>
    </row>
    <row r="43">
      <c r="A43" s="33" t="inlineStr">
        <is>
          <t>Extra Credit</t>
        </is>
      </c>
      <c r="B43" s="96" t="inlineStr">
        <is>
          <t>—</t>
        </is>
      </c>
      <c r="C43" s="97" t="inlineStr"/>
      <c r="D43" s="97" t="inlineStr">
        <is>
          <t>2026-12-04</t>
        </is>
      </c>
      <c r="E43" s="97" t="inlineStr">
        <is>
          <t>No</t>
        </is>
      </c>
      <c r="F43" s="36">
        <f>HYPERLINK("https://raw.githubusercontent.com/vengeanceaiUSC/Syllabus-/cursor/add-syllabus-dissector-skill-a676/output/documents/hist-103-extra-credit.pdf","Open PDF")</f>
        <v/>
      </c>
    </row>
    <row r="44">
      <c r="A44" s="29" t="inlineStr">
        <is>
          <t>Total</t>
        </is>
      </c>
      <c r="B44" s="45" t="inlineStr">
        <is>
          <t>100%</t>
        </is>
      </c>
    </row>
  </sheetData>
  <mergeCells count="4">
    <mergeCell ref="A2:F2"/>
    <mergeCell ref="A1:F1"/>
    <mergeCell ref="A7:F7"/>
    <mergeCell ref="B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7F0E"/>
    <outlinePr summaryBelow="1" summaryRight="1"/>
    <pageSetUpPr/>
  </sheetPr>
  <dimension ref="A1:F48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42" customWidth="1" min="6" max="6"/>
  </cols>
  <sheetData>
    <row r="1" ht="22" customHeight="1">
      <c r="A1" s="48" t="inlineStr">
        <is>
          <t>BUAD-281 — Managerial Accounting</t>
        </is>
      </c>
    </row>
    <row r="2" ht="40" customHeight="1">
      <c r="A2" s="28">
        <f>HYPERLINK("https://raw.githubusercontent.com/vengeanceaiUSC/Syllabus-/cursor/add-syllabus-dissector-skill-a676/output/sources/buad-281-source.pdf","SEE HERE")</f>
        <v/>
      </c>
    </row>
    <row r="3">
      <c r="A3" s="29" t="inlineStr">
        <is>
          <t>Instructor</t>
        </is>
      </c>
      <c r="B3" t="inlineStr">
        <is>
          <t>George Braunegg</t>
        </is>
      </c>
    </row>
    <row r="4">
      <c r="A4" s="29" t="inlineStr">
        <is>
          <t>Term</t>
        </is>
      </c>
      <c r="B4" t="inlineStr">
        <is>
          <t>Fall 2026</t>
        </is>
      </c>
    </row>
    <row r="5">
      <c r="A5" s="29" t="inlineStr">
        <is>
          <t>Required for an A</t>
        </is>
      </c>
      <c r="B5" s="30" t="inlineStr">
        <is>
          <t>N/A</t>
        </is>
      </c>
    </row>
    <row r="6">
      <c r="A6" s="29" t="inlineStr">
        <is>
          <t>Grading scale</t>
        </is>
      </c>
      <c r="B6" t="inlineStr">
        <is>
          <t>Total graded points in calendar: 1070 (letter scale not in document)</t>
        </is>
      </c>
    </row>
    <row r="7" ht="28" customHeight="1">
      <c r="A7" s="49" t="inlineStr">
        <is>
          <t>Midterm 1 250 pts  |  Midterm 2 250 pts  |  Final Exam 250 pts  |  Homework 170 pts  |  LinkedIn Learning Excel Certification 75 pts  |  Stukent Simternship 75 pts</t>
        </is>
      </c>
    </row>
    <row r="8" ht="48" customHeight="1">
      <c r="A8" s="29" t="inlineStr">
        <is>
          <t>Strategy</t>
        </is>
      </c>
      <c r="B8" s="50" t="inlineStr">
        <is>
          <t>If your AI tool breaks down and solves the homework bank problems - extracting step-by-step mechanics from the textbook - mastering those exact mechanics is all you need to get an A without reading prose.</t>
        </is>
      </c>
    </row>
    <row r="10">
      <c r="A10" s="51" t="inlineStr">
        <is>
          <t>Category</t>
        </is>
      </c>
      <c r="B10" s="51" t="inlineStr">
        <is>
          <t>Weight</t>
        </is>
      </c>
      <c r="C10" s="51" t="inlineStr">
        <is>
          <t>Start Date</t>
        </is>
      </c>
      <c r="D10" s="51" t="inlineStr">
        <is>
          <t>Due Date</t>
        </is>
      </c>
      <c r="E10" s="51" t="inlineStr">
        <is>
          <t>Group Project</t>
        </is>
      </c>
      <c r="F10" s="51" t="inlineStr">
        <is>
          <t>Details</t>
        </is>
      </c>
    </row>
    <row r="11">
      <c r="A11" s="52" t="inlineStr">
        <is>
          <t>Midterm 1</t>
        </is>
      </c>
      <c r="B11" s="100" t="inlineStr">
        <is>
          <t>250 pts</t>
        </is>
      </c>
      <c r="C11" s="101" t="inlineStr"/>
      <c r="D11" s="101" t="inlineStr">
        <is>
          <t>2026-09-30</t>
        </is>
      </c>
      <c r="E11" s="101" t="inlineStr">
        <is>
          <t>No</t>
        </is>
      </c>
      <c r="F11" s="55">
        <f>HYPERLINK("https://raw.githubusercontent.com/vengeanceaiUSC/Syllabus-/cursor/add-syllabus-dissector-skill-a676/output/documents/buad-281-midterm-1.pdf","Open PDF")</f>
        <v/>
      </c>
    </row>
    <row r="12">
      <c r="A12" s="56" t="inlineStr">
        <is>
          <t>Exam</t>
        </is>
      </c>
      <c r="B12" s="102" t="inlineStr"/>
      <c r="C12" s="102" t="inlineStr"/>
      <c r="D12" s="102" t="inlineStr">
        <is>
          <t>2026-09-30</t>
        </is>
      </c>
      <c r="E12" s="102" t="inlineStr"/>
      <c r="F12" s="58" t="inlineStr">
        <is>
          <t>9/30 Midterm 1: 250 Points Chapters 1, 2, 3, 4, 5, 8</t>
        </is>
      </c>
    </row>
    <row r="13">
      <c r="A13" s="59" t="inlineStr">
        <is>
          <t>Midterm 2</t>
        </is>
      </c>
      <c r="B13" s="100" t="inlineStr">
        <is>
          <t>250 pts</t>
        </is>
      </c>
      <c r="C13" s="103" t="inlineStr"/>
      <c r="D13" s="103" t="inlineStr">
        <is>
          <t>2026-10-26</t>
        </is>
      </c>
      <c r="E13" s="103" t="inlineStr">
        <is>
          <t>No</t>
        </is>
      </c>
      <c r="F13" s="61">
        <f>HYPERLINK("https://raw.githubusercontent.com/vengeanceaiUSC/Syllabus-/cursor/add-syllabus-dissector-skill-a676/output/documents/buad-281-midterm-2.pdf","Open PDF")</f>
        <v/>
      </c>
    </row>
    <row r="14">
      <c r="A14" s="56" t="inlineStr">
        <is>
          <t>Exam</t>
        </is>
      </c>
      <c r="B14" s="102" t="inlineStr"/>
      <c r="C14" s="102" t="inlineStr"/>
      <c r="D14" s="102" t="inlineStr">
        <is>
          <t>2026-10-26</t>
        </is>
      </c>
      <c r="E14" s="102" t="inlineStr"/>
      <c r="F14" s="58" t="inlineStr">
        <is>
          <t>10/26 Midterm 2: 250 Points Chapters 6, 7, 9, &amp; 16</t>
        </is>
      </c>
    </row>
    <row r="15">
      <c r="A15" s="52" t="inlineStr">
        <is>
          <t>Final Exam</t>
        </is>
      </c>
      <c r="B15" s="100" t="inlineStr">
        <is>
          <t>250 pts</t>
        </is>
      </c>
      <c r="C15" s="101" t="inlineStr"/>
      <c r="D15" s="101" t="inlineStr">
        <is>
          <t>2026-12-16</t>
        </is>
      </c>
      <c r="E15" s="101" t="inlineStr">
        <is>
          <t>No</t>
        </is>
      </c>
      <c r="F15" s="55">
        <f>HYPERLINK("https://raw.githubusercontent.com/vengeanceaiUSC/Syllabus-/cursor/add-syllabus-dissector-skill-a676/output/documents/buad-281-final-exam.pdf","Open PDF")</f>
        <v/>
      </c>
    </row>
    <row r="16">
      <c r="A16" s="56" t="inlineStr">
        <is>
          <t>Exam</t>
        </is>
      </c>
      <c r="B16" s="102" t="inlineStr"/>
      <c r="C16" s="102" t="inlineStr"/>
      <c r="D16" s="102" t="inlineStr">
        <is>
          <t>2026-12-16</t>
        </is>
      </c>
      <c r="E16" s="102" t="inlineStr"/>
      <c r="F16" s="58" t="inlineStr">
        <is>
          <t>Final Exam</t>
        </is>
      </c>
    </row>
    <row r="17">
      <c r="A17" s="59" t="inlineStr">
        <is>
          <t>Homework</t>
        </is>
      </c>
      <c r="B17" s="100" t="inlineStr">
        <is>
          <t>170 pts</t>
        </is>
      </c>
      <c r="C17" s="103" t="inlineStr"/>
      <c r="D17" s="103" t="inlineStr">
        <is>
          <t>2026-12-02</t>
        </is>
      </c>
      <c r="E17" s="103" t="inlineStr">
        <is>
          <t>No</t>
        </is>
      </c>
      <c r="F17" s="61">
        <f>HYPERLINK("https://raw.githubusercontent.com/vengeanceaiUSC/Syllabus-/cursor/add-syllabus-dissector-skill-a676/output/documents/buad-281-homework.pdf","Open PDF")</f>
        <v/>
      </c>
    </row>
    <row r="18">
      <c r="A18" s="62" t="inlineStr">
        <is>
          <t>Reading</t>
        </is>
      </c>
      <c r="B18" s="102" t="inlineStr"/>
      <c r="C18" s="102" t="inlineStr"/>
      <c r="D18" s="102" t="inlineStr">
        <is>
          <t>2026-09-09</t>
        </is>
      </c>
      <c r="E18" s="102" t="inlineStr"/>
      <c r="F18" s="58" t="inlineStr">
        <is>
          <t>Class 5 (9/9) - Product Cost Accumulation: Job; Order Co: Chapter 3</t>
        </is>
      </c>
    </row>
    <row r="19">
      <c r="A19" s="63" t="inlineStr">
        <is>
          <t>Homework</t>
        </is>
      </c>
      <c r="B19" s="102" t="inlineStr"/>
      <c r="C19" s="102" t="inlineStr"/>
      <c r="D19" s="102" t="inlineStr">
        <is>
          <t>2026-09-09</t>
        </is>
      </c>
      <c r="E19" s="102" t="inlineStr"/>
      <c r="F19" s="58" t="inlineStr">
        <is>
          <t>Class 5 (9/9) - 2-29, 2-30, 2-40; 15 Points</t>
        </is>
      </c>
    </row>
    <row r="20">
      <c r="A20" s="62" t="inlineStr">
        <is>
          <t>Reading</t>
        </is>
      </c>
      <c r="B20" s="102" t="inlineStr"/>
      <c r="C20" s="102" t="inlineStr"/>
      <c r="D20" s="102" t="inlineStr">
        <is>
          <t>2026-09-16</t>
        </is>
      </c>
      <c r="E20" s="102" t="inlineStr"/>
      <c r="F20" s="58" t="inlineStr">
        <is>
          <t>Class 7 (9/16) - Activity Based Costing: Chapter 5- ONLY; LO 5.1, 2, 4 &amp; 5</t>
        </is>
      </c>
    </row>
    <row r="21">
      <c r="A21" s="63" t="inlineStr">
        <is>
          <t>Homework</t>
        </is>
      </c>
      <c r="B21" s="102" t="inlineStr"/>
      <c r="C21" s="102" t="inlineStr"/>
      <c r="D21" s="102" t="inlineStr">
        <is>
          <t>2026-09-16</t>
        </is>
      </c>
      <c r="E21" s="102" t="inlineStr"/>
      <c r="F21" s="58" t="inlineStr">
        <is>
          <t>Class 7 (9/16) - 3-24, 3-28, 3-32; 15 Points</t>
        </is>
      </c>
    </row>
    <row r="22">
      <c r="A22" s="62" t="inlineStr">
        <is>
          <t>Reading</t>
        </is>
      </c>
      <c r="B22" s="102" t="inlineStr"/>
      <c r="C22" s="102" t="inlineStr"/>
      <c r="D22" s="102" t="inlineStr">
        <is>
          <t>2026-09-21</t>
        </is>
      </c>
      <c r="E22" s="102" t="inlineStr"/>
      <c r="F22" s="58" t="inlineStr">
        <is>
          <t>Class 8 (9/21) - Product Cost Accumulation: Pro-; cess Co: Chapter 4- ONLY; LO 4.1, 3, 4, &amp; 5</t>
        </is>
      </c>
    </row>
    <row r="23">
      <c r="A23" s="63" t="inlineStr">
        <is>
          <t>Homework</t>
        </is>
      </c>
      <c r="B23" s="102" t="inlineStr"/>
      <c r="C23" s="102" t="inlineStr"/>
      <c r="D23" s="102" t="inlineStr">
        <is>
          <t>2026-09-21</t>
        </is>
      </c>
      <c r="E23" s="102" t="inlineStr"/>
      <c r="F23" s="58" t="inlineStr">
        <is>
          <t>Class 8 (9/21) - 5-27 5-46; 10 Points</t>
        </is>
      </c>
    </row>
    <row r="24">
      <c r="A24" s="62" t="inlineStr">
        <is>
          <t>Reading</t>
        </is>
      </c>
      <c r="B24" s="102" t="inlineStr"/>
      <c r="C24" s="102" t="inlineStr"/>
      <c r="D24" s="102" t="inlineStr">
        <is>
          <t>2026-09-23</t>
        </is>
      </c>
      <c r="E24" s="102" t="inlineStr"/>
      <c r="F24" s="58" t="inlineStr">
        <is>
          <t>Class 9 (9/23) - Cost of Quality &amp; ESG &amp;; Overview of; • : Chapter 8 - ONLY; LO 8.7, 8, 9</t>
        </is>
      </c>
    </row>
    <row r="25">
      <c r="A25" s="63" t="inlineStr">
        <is>
          <t>Homework</t>
        </is>
      </c>
      <c r="B25" s="102" t="inlineStr"/>
      <c r="C25" s="102" t="inlineStr"/>
      <c r="D25" s="102" t="inlineStr">
        <is>
          <t>2026-09-23</t>
        </is>
      </c>
      <c r="E25" s="102" t="inlineStr"/>
      <c r="F25" s="58" t="inlineStr">
        <is>
          <t>Class 9 (9/23) - 4-21, 4-22; 10 Points</t>
        </is>
      </c>
    </row>
    <row r="26">
      <c r="A26" s="62" t="inlineStr">
        <is>
          <t>Reading</t>
        </is>
      </c>
      <c r="B26" s="102" t="inlineStr"/>
      <c r="C26" s="102" t="inlineStr"/>
      <c r="D26" s="102" t="inlineStr">
        <is>
          <t>2026-09-28</t>
        </is>
      </c>
      <c r="E26" s="102" t="inlineStr"/>
      <c r="F26" s="58" t="inlineStr">
        <is>
          <t>Class 10 (9/28) - Catchup &amp; Midterm Review</t>
        </is>
      </c>
    </row>
    <row r="27">
      <c r="A27" s="63" t="inlineStr">
        <is>
          <t>Homework</t>
        </is>
      </c>
      <c r="B27" s="102" t="inlineStr"/>
      <c r="C27" s="102" t="inlineStr"/>
      <c r="D27" s="102" t="inlineStr">
        <is>
          <t>2026-09-28</t>
        </is>
      </c>
      <c r="E27" s="102" t="inlineStr"/>
      <c r="F27" s="58" t="inlineStr">
        <is>
          <t>Class 10 (9/28) - 8-28, 8-29; 10 Points</t>
        </is>
      </c>
    </row>
    <row r="28">
      <c r="A28" s="62" t="inlineStr">
        <is>
          <t>Reading</t>
        </is>
      </c>
      <c r="B28" s="102" t="inlineStr"/>
      <c r="C28" s="102" t="inlineStr"/>
      <c r="D28" s="102" t="inlineStr">
        <is>
          <t>2026-10-07</t>
        </is>
      </c>
      <c r="E28" s="102" t="inlineStr"/>
      <c r="F28" s="58" t="inlineStr">
        <is>
          <t>Class 12 (10/7) - Cost volume profit analysis: Chapter 7</t>
        </is>
      </c>
    </row>
    <row r="29">
      <c r="A29" s="63" t="inlineStr">
        <is>
          <t>Homework</t>
        </is>
      </c>
      <c r="B29" s="102" t="inlineStr"/>
      <c r="C29" s="102" t="inlineStr"/>
      <c r="D29" s="102" t="inlineStr">
        <is>
          <t>2026-10-07</t>
        </is>
      </c>
      <c r="E29" s="102" t="inlineStr"/>
      <c r="F29" s="58" t="inlineStr">
        <is>
          <t>Class 12 (10/7) - 6-24, 6-25, 6-34; 15 Points</t>
        </is>
      </c>
    </row>
    <row r="30">
      <c r="A30" s="62" t="inlineStr">
        <is>
          <t>Reading</t>
        </is>
      </c>
      <c r="B30" s="102" t="inlineStr"/>
      <c r="C30" s="102" t="inlineStr"/>
      <c r="D30" s="102" t="inlineStr">
        <is>
          <t>2026-10-14</t>
        </is>
      </c>
      <c r="E30" s="102" t="inlineStr"/>
      <c r="F30" s="58" t="inlineStr">
        <is>
          <t>Class 14 (10/14) - Financial planning and analysis:; Static: Chapter 9</t>
        </is>
      </c>
    </row>
    <row r="31">
      <c r="A31" s="63" t="inlineStr">
        <is>
          <t>Homework</t>
        </is>
      </c>
      <c r="B31" s="102" t="inlineStr"/>
      <c r="C31" s="102" t="inlineStr"/>
      <c r="D31" s="102" t="inlineStr">
        <is>
          <t>2026-10-14</t>
        </is>
      </c>
      <c r="E31" s="102" t="inlineStr"/>
      <c r="F31" s="58" t="inlineStr">
        <is>
          <t>Class 14 (10/14) - 7-29, 7-33, 7-40; 15 Points</t>
        </is>
      </c>
    </row>
    <row r="32">
      <c r="A32" s="62" t="inlineStr">
        <is>
          <t>Reading</t>
        </is>
      </c>
      <c r="B32" s="102" t="inlineStr"/>
      <c r="C32" s="102" t="inlineStr"/>
      <c r="D32" s="102" t="inlineStr">
        <is>
          <t>2026-10-19</t>
        </is>
      </c>
      <c r="E32" s="102" t="inlineStr"/>
      <c r="F32" s="58" t="inlineStr">
        <is>
          <t>Class 15 (10/19) - Capital Budgeting; Practice Midterm Ques: Chapter 16- ONLY; LO 16.1, 2, 3</t>
        </is>
      </c>
    </row>
    <row r="33">
      <c r="A33" s="63" t="inlineStr">
        <is>
          <t>Homework</t>
        </is>
      </c>
      <c r="B33" s="102" t="inlineStr"/>
      <c r="C33" s="102" t="inlineStr"/>
      <c r="D33" s="102" t="inlineStr">
        <is>
          <t>2026-10-19</t>
        </is>
      </c>
      <c r="E33" s="102" t="inlineStr"/>
      <c r="F33" s="58" t="inlineStr">
        <is>
          <t>Class 15 (10/19) - 9-25, 9-28, 9-37; 15 - Points</t>
        </is>
      </c>
    </row>
    <row r="34">
      <c r="A34" s="62" t="inlineStr">
        <is>
          <t>Reading</t>
        </is>
      </c>
      <c r="B34" s="102" t="inlineStr"/>
      <c r="C34" s="102" t="inlineStr"/>
      <c r="D34" s="102" t="inlineStr">
        <is>
          <t>2026-10-21</t>
        </is>
      </c>
      <c r="E34" s="102" t="inlineStr"/>
      <c r="F34" s="58" t="inlineStr">
        <is>
          <t>Class 16 (10/21) - Catchup &amp; Midterm Review</t>
        </is>
      </c>
    </row>
    <row r="35">
      <c r="A35" s="63" t="inlineStr">
        <is>
          <t>Homework</t>
        </is>
      </c>
      <c r="B35" s="102" t="inlineStr"/>
      <c r="C35" s="102" t="inlineStr"/>
      <c r="D35" s="102" t="inlineStr">
        <is>
          <t>2026-10-21</t>
        </is>
      </c>
      <c r="E35" s="102" t="inlineStr"/>
      <c r="F35" s="58" t="inlineStr">
        <is>
          <t>Class 16 (10/21) - 16-28, 16-40; 10 Points</t>
        </is>
      </c>
    </row>
    <row r="36">
      <c r="A36" s="62" t="inlineStr">
        <is>
          <t>Reading</t>
        </is>
      </c>
      <c r="B36" s="102" t="inlineStr"/>
      <c r="C36" s="102" t="inlineStr"/>
      <c r="D36" s="102" t="inlineStr">
        <is>
          <t>2026-11-04</t>
        </is>
      </c>
      <c r="E36" s="102" t="inlineStr"/>
      <c r="F36" s="58" t="inlineStr">
        <is>
          <t>Class 19 (11/4) - Sales Variance Analysis; Flexible Budget: Chapter 11 - ONLY; LO 11.1, 11.2 &amp;; Appendix B</t>
        </is>
      </c>
    </row>
    <row r="37">
      <c r="A37" s="63" t="inlineStr">
        <is>
          <t>Homework</t>
        </is>
      </c>
      <c r="B37" s="102" t="inlineStr"/>
      <c r="C37" s="102" t="inlineStr"/>
      <c r="D37" s="102" t="inlineStr">
        <is>
          <t>2026-11-04</t>
        </is>
      </c>
      <c r="E37" s="102" t="inlineStr"/>
      <c r="F37" s="58" t="inlineStr">
        <is>
          <t>Class 19 (11/4) - 10-26, 10-30; 10 Points</t>
        </is>
      </c>
    </row>
    <row r="38">
      <c r="A38" s="62" t="inlineStr">
        <is>
          <t>Reading</t>
        </is>
      </c>
      <c r="B38" s="102" t="inlineStr"/>
      <c r="C38" s="102" t="inlineStr"/>
      <c r="D38" s="102" t="inlineStr">
        <is>
          <t>2026-11-09</t>
        </is>
      </c>
      <c r="E38" s="102" t="inlineStr"/>
      <c r="F38" s="58" t="inlineStr">
        <is>
          <t>Class 20 (11/9) - Investment Centers: Chapter 13- ONLY; LO 13-1, 2, 3, 4</t>
        </is>
      </c>
    </row>
    <row r="39">
      <c r="A39" s="63" t="inlineStr">
        <is>
          <t>Homework</t>
        </is>
      </c>
      <c r="B39" s="102" t="inlineStr"/>
      <c r="C39" s="102" t="inlineStr"/>
      <c r="D39" s="102" t="inlineStr">
        <is>
          <t>2026-11-09</t>
        </is>
      </c>
      <c r="E39" s="102" t="inlineStr"/>
      <c r="F39" s="58" t="inlineStr">
        <is>
          <t>Class 20 (11/9) - 11-31, 11-52; 10 Points</t>
        </is>
      </c>
    </row>
    <row r="40">
      <c r="A40" s="62" t="inlineStr">
        <is>
          <t>Reading</t>
        </is>
      </c>
      <c r="B40" s="102" t="inlineStr"/>
      <c r="C40" s="102" t="inlineStr"/>
      <c r="D40" s="102" t="inlineStr">
        <is>
          <t>2026-11-16</t>
        </is>
      </c>
      <c r="E40" s="102" t="inlineStr"/>
      <c r="F40" s="58" t="inlineStr">
        <is>
          <t>Class 21 (11/16) - AI &amp; FP&amp;A</t>
        </is>
      </c>
    </row>
    <row r="41">
      <c r="A41" s="63" t="inlineStr">
        <is>
          <t>Homework</t>
        </is>
      </c>
      <c r="B41" s="102" t="inlineStr"/>
      <c r="C41" s="102" t="inlineStr"/>
      <c r="D41" s="102" t="inlineStr">
        <is>
          <t>2026-11-16</t>
        </is>
      </c>
      <c r="E41" s="102" t="inlineStr"/>
      <c r="F41" s="58" t="inlineStr">
        <is>
          <t>Class 21 (11/16) - 13-29, 13-33; 10 Points</t>
        </is>
      </c>
    </row>
    <row r="42">
      <c r="A42" s="62" t="inlineStr">
        <is>
          <t>Reading</t>
        </is>
      </c>
      <c r="B42" s="102" t="inlineStr"/>
      <c r="C42" s="102" t="inlineStr"/>
      <c r="D42" s="102" t="inlineStr">
        <is>
          <t>2026-12-02</t>
        </is>
      </c>
      <c r="E42" s="102" t="inlineStr"/>
      <c r="F42" s="58" t="inlineStr">
        <is>
          <t>Class 2 (12/2) - Catchup &amp; Final Review; Practice Final Questions Posted to Brightspace at; 5:00 PM</t>
        </is>
      </c>
    </row>
    <row r="43">
      <c r="A43" s="63" t="inlineStr">
        <is>
          <t>Homework</t>
        </is>
      </c>
      <c r="B43" s="102" t="inlineStr"/>
      <c r="C43" s="102" t="inlineStr"/>
      <c r="D43" s="102" t="inlineStr">
        <is>
          <t>2026-12-02</t>
        </is>
      </c>
      <c r="E43" s="102" t="inlineStr"/>
      <c r="F43" s="58" t="inlineStr">
        <is>
          <t>Class 2 (12/2) - 14-35, 14-41; 10 Points; Assignments listed Be-; low Due by11:59 PM; Linked In Learning; E</t>
        </is>
      </c>
    </row>
    <row r="44">
      <c r="A44" s="52" t="inlineStr">
        <is>
          <t>LinkedIn Learning Excel Certification</t>
        </is>
      </c>
      <c r="B44" s="100" t="inlineStr">
        <is>
          <t>75 pts</t>
        </is>
      </c>
      <c r="C44" s="101" t="inlineStr">
        <is>
          <t>2026-09-23</t>
        </is>
      </c>
      <c r="D44" s="101" t="inlineStr">
        <is>
          <t>2026-12-02</t>
        </is>
      </c>
      <c r="E44" s="101" t="inlineStr">
        <is>
          <t>No</t>
        </is>
      </c>
      <c r="F44" s="55">
        <f>HYPERLINK("https://raw.githubusercontent.com/vengeanceaiUSC/Syllabus-/cursor/add-syllabus-dissector-skill-a676/output/documents/buad-281-linkedin-learning-excel-certification.pdf","Open PDF")</f>
        <v/>
      </c>
    </row>
    <row r="45">
      <c r="A45" s="64" t="inlineStr">
        <is>
          <t>Certification</t>
        </is>
      </c>
      <c r="B45" s="102" t="inlineStr"/>
      <c r="C45" s="102" t="inlineStr">
        <is>
          <t>2026-09-23</t>
        </is>
      </c>
      <c r="D45" s="102" t="inlineStr">
        <is>
          <t>2026-12-02</t>
        </is>
      </c>
      <c r="E45" s="102" t="inlineStr"/>
      <c r="F45" s="58" t="inlineStr">
        <is>
          <t>LinkedIn Learning Excel Certification</t>
        </is>
      </c>
    </row>
    <row r="46">
      <c r="A46" s="59" t="inlineStr">
        <is>
          <t>Stukent Simternship</t>
        </is>
      </c>
      <c r="B46" s="100" t="inlineStr">
        <is>
          <t>75 pts</t>
        </is>
      </c>
      <c r="C46" s="103" t="inlineStr">
        <is>
          <t>2026-09-23</t>
        </is>
      </c>
      <c r="D46" s="103" t="inlineStr">
        <is>
          <t>2026-12-02</t>
        </is>
      </c>
      <c r="E46" s="103" t="inlineStr">
        <is>
          <t>No</t>
        </is>
      </c>
      <c r="F46" s="61">
        <f>HYPERLINK("https://raw.githubusercontent.com/vengeanceaiUSC/Syllabus-/cursor/add-syllabus-dissector-skill-a676/output/documents/buad-281-stukent-simternship.pdf","Open PDF")</f>
        <v/>
      </c>
    </row>
    <row r="47">
      <c r="A47" s="64" t="inlineStr">
        <is>
          <t>Certification</t>
        </is>
      </c>
      <c r="B47" s="102" t="inlineStr"/>
      <c r="C47" s="102" t="inlineStr">
        <is>
          <t>2026-09-23</t>
        </is>
      </c>
      <c r="D47" s="102" t="inlineStr">
        <is>
          <t>2026-12-02</t>
        </is>
      </c>
      <c r="E47" s="102" t="inlineStr"/>
      <c r="F47" s="58" t="inlineStr">
        <is>
          <t>Stukent Simternship</t>
        </is>
      </c>
    </row>
    <row r="48">
      <c r="A48" s="29" t="inlineStr">
        <is>
          <t>Total</t>
        </is>
      </c>
      <c r="B48" s="65" t="inlineStr">
        <is>
          <t>1070 pts</t>
        </is>
      </c>
    </row>
  </sheetData>
  <mergeCells count="5">
    <mergeCell ref="A2:F2"/>
    <mergeCell ref="B6:F6"/>
    <mergeCell ref="A1:F1"/>
    <mergeCell ref="B8:F8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2026-08-20T23:25:37Z</dcterms:created>
  <dcterms:modified xmlns:dcterms="http://purl.org/dc/terms/" xmlns:xsi="http://www.w3.org/2001/XMLSchema-instance" xsi:type="dcterms:W3CDTF">2026-08-21T16:29:07Z</dcterms:modified>
</cp:coreProperties>
</file>