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-103" sheetId="1" state="visible" r:id="rId1"/>
    <sheet xmlns:r="http://schemas.openxmlformats.org/officeDocument/2006/relationships" name="BUAD-281" sheetId="2" state="visible" r:id="rId2"/>
    <sheet xmlns:r="http://schemas.openxmlformats.org/officeDocument/2006/relationships" name="BUAD-3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C00000"/>
      <sz val="20"/>
      <u val="single"/>
    </font>
    <font>
      <b val="1"/>
    </font>
    <font>
      <b val="1"/>
      <color rgb="00C00000"/>
    </font>
    <font>
      <b val="1"/>
      <color rgb="00FFFFFF"/>
    </font>
    <font>
      <color rgb="000563C1"/>
      <u val="single"/>
    </font>
    <font>
      <color rgb="00404040"/>
      <sz val="10"/>
    </font>
  </fonts>
  <fills count="15">
    <fill>
      <patternFill/>
    </fill>
    <fill>
      <patternFill patternType="gray125"/>
    </fill>
    <fill>
      <patternFill patternType="solid">
        <fgColor rgb="00D62728"/>
      </patternFill>
    </fill>
    <fill>
      <patternFill patternType="solid">
        <fgColor rgb="00FFF2CC"/>
      </patternFill>
    </fill>
    <fill>
      <patternFill patternType="solid">
        <fgColor rgb="00F8DEDE"/>
      </patternFill>
    </fill>
    <fill>
      <patternFill patternType="solid">
        <fgColor rgb="00FCEFEF"/>
      </patternFill>
    </fill>
    <fill>
      <patternFill patternType="solid">
        <fgColor rgb="00FF7F0E"/>
      </patternFill>
    </fill>
    <fill>
      <patternFill patternType="solid">
        <fgColor rgb="00FFEBDA"/>
      </patternFill>
    </fill>
    <fill>
      <patternFill patternType="solid">
        <fgColor rgb="00FFF6EE"/>
      </patternFill>
    </fill>
    <fill>
      <patternFill patternType="solid">
        <fgColor rgb="001F77B4"/>
      </patternFill>
    </fill>
    <fill>
      <patternFill patternType="solid">
        <fgColor rgb="00DDEAF3"/>
      </patternFill>
    </fill>
    <fill>
      <patternFill patternType="solid">
        <fgColor rgb="00EFF5F9"/>
      </patternFill>
    </fill>
    <fill>
      <patternFill patternType="solid">
        <fgColor rgb="00F6F9FC"/>
      </patternFill>
    </fill>
    <fill>
      <patternFill patternType="solid">
        <fgColor rgb="00FDF6F6"/>
      </patternFill>
    </fill>
    <fill>
      <patternFill patternType="solid">
        <fgColor rgb="00FFF9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1" fillId="6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1" fillId="9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7" fillId="12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13" borderId="1" applyAlignment="1" pivotButton="0" quotePrefix="0" xfId="0">
      <alignment vertical="center" wrapText="1"/>
    </xf>
    <xf numFmtId="0" fontId="0" fillId="13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14" borderId="1" applyAlignment="1" pivotButton="0" quotePrefix="0" xfId="0">
      <alignment vertical="center" wrapText="1"/>
    </xf>
    <xf numFmtId="0" fontId="0" fillId="14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62728"/>
    <outlinePr summaryBelow="1" summaryRight="1"/>
    <pageSetUpPr/>
  </sheetPr>
  <dimension ref="A1:F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2" customHeight="1">
      <c r="A1" s="1" t="inlineStr">
        <is>
          <t>HIST-103 — The Emergence of Modern Europe</t>
        </is>
      </c>
    </row>
    <row r="2" ht="40" customHeight="1">
      <c r="A2" s="2">
        <f>HYPERLINK("https://raw.githubusercontent.com/vengeanceaiUSC/Syllabus-/cursor/add-syllabus-dissector-skill-a676/output/sources/hist-103-source.pdf","SEE HERE")</f>
        <v/>
      </c>
    </row>
    <row r="3">
      <c r="A3" s="3" t="inlineStr">
        <is>
          <t>Instructor</t>
        </is>
      </c>
      <c r="B3" t="inlineStr">
        <is>
          <t>Dr. Lindsay O'Neill</t>
        </is>
      </c>
    </row>
    <row r="4">
      <c r="A4" s="3" t="inlineStr">
        <is>
          <t>Term</t>
        </is>
      </c>
      <c r="B4" t="inlineStr">
        <is>
          <t>Fall 2026</t>
        </is>
      </c>
    </row>
    <row r="5">
      <c r="A5" s="3" t="inlineStr">
        <is>
          <t>Required for an A</t>
        </is>
      </c>
      <c r="B5" s="4" t="inlineStr">
        <is>
          <t>93% (100-93)</t>
        </is>
      </c>
    </row>
    <row r="6">
      <c r="A6" s="3" t="inlineStr">
        <is>
          <t>Grading scale</t>
        </is>
      </c>
      <c r="B6" t="inlineStr">
        <is>
          <t>A: 100-93; A-: 92-90; B+: 89-87; B: 86-83; B-: 82-80; C+: 79-77; C: 76-73; C- 72-70 D+: 69-67; D: 66-63; D-: 62-60; F: 59-0</t>
        </is>
      </c>
    </row>
    <row r="8">
      <c r="A8" s="5" t="inlineStr">
        <is>
          <t>Category</t>
        </is>
      </c>
      <c r="B8" s="5" t="inlineStr">
        <is>
          <t>Weight</t>
        </is>
      </c>
      <c r="C8" s="5" t="inlineStr">
        <is>
          <t>Start Date</t>
        </is>
      </c>
      <c r="D8" s="5" t="inlineStr">
        <is>
          <t>Due Date</t>
        </is>
      </c>
      <c r="E8" s="5" t="inlineStr">
        <is>
          <t>Group Project</t>
        </is>
      </c>
      <c r="F8" s="5" t="inlineStr">
        <is>
          <t>Details</t>
        </is>
      </c>
    </row>
    <row r="9">
      <c r="A9" s="6" t="inlineStr">
        <is>
          <t>Sleep Paper</t>
        </is>
      </c>
      <c r="B9" s="56" t="inlineStr">
        <is>
          <t>20%</t>
        </is>
      </c>
      <c r="C9" s="56" t="inlineStr">
        <is>
          <t>N/A</t>
        </is>
      </c>
      <c r="D9" s="56" t="inlineStr">
        <is>
          <t>2026-09-15</t>
        </is>
      </c>
      <c r="E9" s="56" t="inlineStr">
        <is>
          <t>No</t>
        </is>
      </c>
      <c r="F9" s="57">
        <f>HYPERLINK("https://raw.githubusercontent.com/vengeanceaiUSC/Syllabus-/cursor/add-syllabus-dissector-skill-a676/output/documents/hist-103-sleep-paper.pdf","Open PDF")</f>
        <v/>
      </c>
    </row>
    <row r="10">
      <c r="A10" s="58" t="inlineStr">
        <is>
          <t xml:space="preserve">  ↳ Sleep Paper Due</t>
        </is>
      </c>
      <c r="B10" s="59" t="inlineStr"/>
      <c r="C10" s="59" t="inlineStr">
        <is>
          <t>2026-09-15</t>
        </is>
      </c>
      <c r="D10" s="59" t="inlineStr">
        <is>
          <t>2026-09-15</t>
        </is>
      </c>
      <c r="E10" s="59" t="inlineStr"/>
      <c r="F10" s="59" t="inlineStr">
        <is>
          <t>Due date (course schedule)</t>
        </is>
      </c>
    </row>
    <row r="11">
      <c r="A11" s="58" t="inlineStr">
        <is>
          <t xml:space="preserve">  ↳ Week Sep 15-18: Renaissance</t>
        </is>
      </c>
      <c r="B11" s="59" t="inlineStr"/>
      <c r="C11" s="59" t="inlineStr">
        <is>
          <t>2026-09-15</t>
        </is>
      </c>
      <c r="D11" s="59" t="inlineStr">
        <is>
          <t>2026-09-18</t>
        </is>
      </c>
      <c r="E11" s="59" t="inlineStr"/>
      <c r="F11" s="59" t="inlineStr">
        <is>
          <t>Weekly schedule</t>
        </is>
      </c>
    </row>
    <row r="12">
      <c r="A12" s="9" t="inlineStr">
        <is>
          <t>Witchcraft Paper</t>
        </is>
      </c>
      <c r="B12" s="60" t="inlineStr">
        <is>
          <t>20%</t>
        </is>
      </c>
      <c r="C12" s="60" t="inlineStr">
        <is>
          <t>2026-08-25</t>
        </is>
      </c>
      <c r="D12" s="60" t="inlineStr">
        <is>
          <t>2026-11-10</t>
        </is>
      </c>
      <c r="E12" s="60" t="inlineStr">
        <is>
          <t>No</t>
        </is>
      </c>
      <c r="F12" s="61">
        <f>HYPERLINK("https://raw.githubusercontent.com/vengeanceaiUSC/Syllabus-/cursor/add-syllabus-dissector-skill-a676/output/documents/hist-103-witchcraft-paper.pdf","Open PDF")</f>
        <v/>
      </c>
    </row>
    <row r="13">
      <c r="A13" s="58" t="inlineStr">
        <is>
          <t xml:space="preserve">  ↳ Witchcraft Paper Due</t>
        </is>
      </c>
      <c r="B13" s="59" t="inlineStr"/>
      <c r="C13" s="59" t="inlineStr">
        <is>
          <t>2026-11-10</t>
        </is>
      </c>
      <c r="D13" s="59" t="inlineStr">
        <is>
          <t>2026-11-10</t>
        </is>
      </c>
      <c r="E13" s="59" t="inlineStr"/>
      <c r="F13" s="59" t="inlineStr">
        <is>
          <t>Due date (course schedule)</t>
        </is>
      </c>
    </row>
    <row r="14">
      <c r="A14" s="58" t="inlineStr">
        <is>
          <t xml:space="preserve">  ↳ Week Nov 10-13: Enlightenment</t>
        </is>
      </c>
      <c r="B14" s="59" t="inlineStr"/>
      <c r="C14" s="59" t="inlineStr">
        <is>
          <t>2026-11-10</t>
        </is>
      </c>
      <c r="D14" s="59" t="inlineStr">
        <is>
          <t>2026-11-13</t>
        </is>
      </c>
      <c r="E14" s="59" t="inlineStr"/>
      <c r="F14" s="59" t="inlineStr">
        <is>
          <t>Weekly schedule</t>
        </is>
      </c>
    </row>
    <row r="15">
      <c r="A15" s="6" t="inlineStr">
        <is>
          <t>Mid-term</t>
        </is>
      </c>
      <c r="B15" s="56" t="inlineStr">
        <is>
          <t>20%</t>
        </is>
      </c>
      <c r="C15" s="56" t="inlineStr">
        <is>
          <t>2026-08-25</t>
        </is>
      </c>
      <c r="D15" s="56" t="inlineStr">
        <is>
          <t>2026-10-09</t>
        </is>
      </c>
      <c r="E15" s="56" t="inlineStr">
        <is>
          <t>No</t>
        </is>
      </c>
      <c r="F15" s="57">
        <f>HYPERLINK("https://raw.githubusercontent.com/vengeanceaiUSC/Syllabus-/cursor/add-syllabus-dissector-skill-a676/output/documents/hist-103-mid-term.pdf","Open PDF")</f>
        <v/>
      </c>
    </row>
    <row r="16">
      <c r="A16" s="58" t="inlineStr">
        <is>
          <t xml:space="preserve">  ↳ Midterm Exam</t>
        </is>
      </c>
      <c r="B16" s="59" t="inlineStr"/>
      <c r="C16" s="59" t="inlineStr">
        <is>
          <t>2026-10-06</t>
        </is>
      </c>
      <c r="D16" s="59" t="inlineStr">
        <is>
          <t>2026-10-06</t>
        </is>
      </c>
      <c r="E16" s="59" t="inlineStr"/>
      <c r="F16" s="59" t="inlineStr">
        <is>
          <t>Oct 6: Midterm</t>
        </is>
      </c>
    </row>
    <row r="17">
      <c r="A17" s="58" t="inlineStr">
        <is>
          <t xml:space="preserve">  ↳ Week Oct 6-9: Midterm &amp; Break</t>
        </is>
      </c>
      <c r="B17" s="59" t="inlineStr"/>
      <c r="C17" s="59" t="inlineStr">
        <is>
          <t>2026-10-06</t>
        </is>
      </c>
      <c r="D17" s="59" t="inlineStr">
        <is>
          <t>2026-10-09</t>
        </is>
      </c>
      <c r="E17" s="59" t="inlineStr"/>
      <c r="F17" s="59" t="inlineStr">
        <is>
          <t>Weekly schedule</t>
        </is>
      </c>
    </row>
    <row r="18">
      <c r="A18" s="58" t="inlineStr">
        <is>
          <t xml:space="preserve">  ↳ Week Dec 1-4: Modern Europe?</t>
        </is>
      </c>
      <c r="B18" s="59" t="inlineStr"/>
      <c r="C18" s="59" t="inlineStr">
        <is>
          <t>2026-12-01</t>
        </is>
      </c>
      <c r="D18" s="59" t="inlineStr">
        <is>
          <t>2026-12-04</t>
        </is>
      </c>
      <c r="E18" s="59" t="inlineStr"/>
      <c r="F18" s="59" t="inlineStr">
        <is>
          <t>Weekly schedule</t>
        </is>
      </c>
    </row>
    <row r="19">
      <c r="A19" s="9" t="inlineStr">
        <is>
          <t>Final Exam</t>
        </is>
      </c>
      <c r="B19" s="60" t="inlineStr">
        <is>
          <t>20%</t>
        </is>
      </c>
      <c r="C19" s="60" t="inlineStr">
        <is>
          <t>N/A</t>
        </is>
      </c>
      <c r="D19" s="60" t="inlineStr">
        <is>
          <t>2026-09-17</t>
        </is>
      </c>
      <c r="E19" s="60" t="inlineStr">
        <is>
          <t>No</t>
        </is>
      </c>
      <c r="F19" s="61">
        <f>HYPERLINK("https://raw.githubusercontent.com/vengeanceaiUSC/Syllabus-/cursor/add-syllabus-dissector-skill-a676/output/documents/hist-103-final-exam.pdf","Open PDF")</f>
        <v/>
      </c>
    </row>
    <row r="20">
      <c r="A20" s="58" t="inlineStr">
        <is>
          <t xml:space="preserve">  ↳ Final Exam</t>
        </is>
      </c>
      <c r="B20" s="59" t="inlineStr"/>
      <c r="C20" s="59" t="inlineStr">
        <is>
          <t>2026-12-10</t>
        </is>
      </c>
      <c r="D20" s="59" t="inlineStr">
        <is>
          <t>2026-12-10</t>
        </is>
      </c>
      <c r="E20" s="59" t="inlineStr"/>
      <c r="F20" s="59" t="inlineStr">
        <is>
          <t>Dec 10: Final Exam</t>
        </is>
      </c>
    </row>
    <row r="21">
      <c r="A21" s="6" t="inlineStr">
        <is>
          <t>Discussion Section</t>
        </is>
      </c>
      <c r="B21" s="56" t="inlineStr">
        <is>
          <t>15%</t>
        </is>
      </c>
      <c r="C21" s="56" t="inlineStr">
        <is>
          <t>2026-11-10</t>
        </is>
      </c>
      <c r="D21" s="56" t="inlineStr">
        <is>
          <t>2026-11-12</t>
        </is>
      </c>
      <c r="E21" s="56" t="inlineStr">
        <is>
          <t>Yes</t>
        </is>
      </c>
      <c r="F21" s="57">
        <f>HYPERLINK("https://raw.githubusercontent.com/vengeanceaiUSC/Syllabus-/cursor/add-syllabus-dissector-skill-a676/output/documents/hist-103-discussion-section.pdf","Open PDF")</f>
        <v/>
      </c>
    </row>
    <row r="22">
      <c r="A22" s="58" t="inlineStr">
        <is>
          <t xml:space="preserve">  ↳ Week Aug 25-29: Intro &amp; Black Death</t>
        </is>
      </c>
      <c r="B22" s="59" t="inlineStr"/>
      <c r="C22" s="59" t="inlineStr">
        <is>
          <t>2026-08-25</t>
        </is>
      </c>
      <c r="D22" s="59" t="inlineStr">
        <is>
          <t>2026-08-29</t>
        </is>
      </c>
      <c r="E22" s="59" t="inlineStr"/>
      <c r="F22" s="59" t="inlineStr">
        <is>
          <t>Weekly schedule</t>
        </is>
      </c>
    </row>
    <row r="23">
      <c r="A23" s="58" t="inlineStr">
        <is>
          <t xml:space="preserve">  ↳ Week Aug 25-29: Intro &amp; Black Death  -  Section readings 1</t>
        </is>
      </c>
      <c r="B23" s="59" t="inlineStr"/>
      <c r="C23" s="59" t="inlineStr">
        <is>
          <t>2026-08-25</t>
        </is>
      </c>
      <c r="D23" s="59" t="inlineStr">
        <is>
          <t>2026-08-29</t>
        </is>
      </c>
      <c r="E23" s="59" t="inlineStr"/>
      <c r="F23" s="59" t="inlineStr">
        <is>
          <t>-- 13 of 33 -- Lizzie Wade, “From Black Death to fatal flu, past pandemics show why people on the margins suffer most,” Science, May 14, 2020 Alex Brown and Grace Owen, “What a list of Black Death Sur</t>
        </is>
      </c>
    </row>
    <row r="24">
      <c r="A24" s="58" t="inlineStr">
        <is>
          <t xml:space="preserve">  ↳ Week Sep 1-4: Everyday Life</t>
        </is>
      </c>
      <c r="B24" s="59" t="inlineStr"/>
      <c r="C24" s="59" t="inlineStr">
        <is>
          <t>2026-09-01</t>
        </is>
      </c>
      <c r="D24" s="59" t="inlineStr">
        <is>
          <t>2026-09-04</t>
        </is>
      </c>
      <c r="E24" s="59" t="inlineStr"/>
      <c r="F24" s="59" t="inlineStr">
        <is>
          <t>Weekly schedule</t>
        </is>
      </c>
    </row>
    <row r="25">
      <c r="A25" s="58" t="inlineStr">
        <is>
          <t xml:space="preserve">  ↳ Week Sep 1-4: Everyday Life  -  Section readings 1</t>
        </is>
      </c>
      <c r="B25" s="59" t="inlineStr"/>
      <c r="C25" s="59" t="inlineStr">
        <is>
          <t>2026-09-01</t>
        </is>
      </c>
      <c r="D25" s="59" t="inlineStr">
        <is>
          <t>2026-09-04</t>
        </is>
      </c>
      <c r="E25" s="59" t="inlineStr"/>
      <c r="F25" s="59" t="inlineStr">
        <is>
          <t>A Roger Ekirch, “Sleep we have lost: Pre-Industrial Slumber in the British Isles, The American Historical Review, April 2001, pg. 343-365 Sasha Handley, Sleep in Early Modern England, Introduction &amp; C</t>
        </is>
      </c>
    </row>
    <row r="26">
      <c r="A26" s="58" t="inlineStr">
        <is>
          <t xml:space="preserve">  ↳ Week Sep 8-11: Renaissance</t>
        </is>
      </c>
      <c r="B26" s="59" t="inlineStr"/>
      <c r="C26" s="59" t="inlineStr">
        <is>
          <t>2026-09-08</t>
        </is>
      </c>
      <c r="D26" s="59" t="inlineStr">
        <is>
          <t>2026-09-11</t>
        </is>
      </c>
      <c r="E26" s="59" t="inlineStr"/>
      <c r="F26" s="59" t="inlineStr">
        <is>
          <t>Weekly schedule</t>
        </is>
      </c>
    </row>
    <row r="27">
      <c r="A27" s="58" t="inlineStr">
        <is>
          <t xml:space="preserve">  ↳ Week Sep 8-11: Renaissance  -  Section readings 1</t>
        </is>
      </c>
      <c r="B27" s="59" t="inlineStr"/>
      <c r="C27" s="59" t="inlineStr">
        <is>
          <t>2026-09-08</t>
        </is>
      </c>
      <c r="D27" s="59" t="inlineStr">
        <is>
          <t>2026-09-11</t>
        </is>
      </c>
      <c r="E27" s="59" t="inlineStr"/>
      <c r="F27" s="59" t="inlineStr">
        <is>
          <t>-- 14 of 33 -- Kay Daly, “Diverting the Flood of History: Ada Palmer’s Inventing the Renaissance,” Chicago Review of Books, 25 March 2025 Ada Palmer, “Black Death, COVID, and Why We Keep Telling the M</t>
        </is>
      </c>
    </row>
    <row r="28">
      <c r="A28" s="58" t="inlineStr">
        <is>
          <t xml:space="preserve">  ↳ Week Sep 15-18: Renaissance  -  Section readings 1</t>
        </is>
      </c>
      <c r="B28" s="59" t="inlineStr"/>
      <c r="C28" s="59" t="inlineStr">
        <is>
          <t>2026-09-15</t>
        </is>
      </c>
      <c r="D28" s="59" t="inlineStr">
        <is>
          <t>2026-09-18</t>
        </is>
      </c>
      <c r="E28" s="59" t="inlineStr"/>
      <c r="F28" s="59" t="inlineStr">
        <is>
          <t>Vasari, Lives of the Artists: Leonardo da Vinci &amp; Properzia de’ Rossi Video: The Story of Women and Art, Part 1(1hr) Vasari on da Vinci PDF document Vasari on d'Rossi PDF document</t>
        </is>
      </c>
    </row>
    <row r="29">
      <c r="A29" s="58" t="inlineStr">
        <is>
          <t xml:space="preserve">  ↳ Week Sep 20-24: European Expansion</t>
        </is>
      </c>
      <c r="B29" s="59" t="inlineStr"/>
      <c r="C29" s="59" t="inlineStr">
        <is>
          <t>2026-09-20</t>
        </is>
      </c>
      <c r="D29" s="59" t="inlineStr">
        <is>
          <t>2026-09-24</t>
        </is>
      </c>
      <c r="E29" s="59" t="inlineStr"/>
      <c r="F29" s="59" t="inlineStr">
        <is>
          <t>Weekly schedule</t>
        </is>
      </c>
    </row>
    <row r="30">
      <c r="A30" s="58" t="inlineStr">
        <is>
          <t xml:space="preserve">  ↳ Week Sep 20-24: European Expansion  -  Section readings 1</t>
        </is>
      </c>
      <c r="B30" s="59" t="inlineStr"/>
      <c r="C30" s="59" t="inlineStr">
        <is>
          <t>2026-09-20</t>
        </is>
      </c>
      <c r="D30" s="59" t="inlineStr">
        <is>
          <t>2026-09-24</t>
        </is>
      </c>
      <c r="E30" s="59" t="inlineStr"/>
      <c r="F30" s="59" t="inlineStr">
        <is>
          <t xml:space="preserve">Jerry Brotton, The Renaissance Bazaar, Chap 1 (15 pgs) Read Columbus’ Letter on his Return: MacGregor, The History of the World in 100 Objects Read or listen to the stories behind these objects: Part </t>
        </is>
      </c>
    </row>
    <row r="31">
      <c r="A31" s="58" t="inlineStr">
        <is>
          <t xml:space="preserve">  ↳ Week Sep 20-24: European Expansion  -  Section readings 2</t>
        </is>
      </c>
      <c r="B31" s="59" t="inlineStr"/>
      <c r="C31" s="59" t="inlineStr">
        <is>
          <t>2026-09-20</t>
        </is>
      </c>
      <c r="D31" s="59" t="inlineStr">
        <is>
          <t>2026-09-24</t>
        </is>
      </c>
      <c r="E31" s="59" t="inlineStr"/>
      <c r="F31" s="59" t="inlineStr">
        <is>
          <t>Bernal Diaz del Castillo, The True History of the Conquest of New Spain, pg 121-171 Miguel León Portilla, Broken Spears: The Aztec Account of the Conquest of Mexico, Appendix, Chap 8-10 (37 pgs) Broke</t>
        </is>
      </c>
    </row>
    <row r="32">
      <c r="A32" s="58" t="inlineStr">
        <is>
          <t xml:space="preserve">  ↳ Week Oct 13-16: The Reformation</t>
        </is>
      </c>
      <c r="B32" s="59" t="inlineStr"/>
      <c r="C32" s="59" t="inlineStr">
        <is>
          <t>2026-10-13</t>
        </is>
      </c>
      <c r="D32" s="59" t="inlineStr">
        <is>
          <t>2026-10-16</t>
        </is>
      </c>
      <c r="E32" s="59" t="inlineStr"/>
      <c r="F32" s="59" t="inlineStr">
        <is>
          <t>Weekly schedule</t>
        </is>
      </c>
    </row>
    <row r="33">
      <c r="A33" s="58" t="inlineStr">
        <is>
          <t xml:space="preserve">  ↳ Week Oct 20-23: The Reformation</t>
        </is>
      </c>
      <c r="B33" s="59" t="inlineStr"/>
      <c r="C33" s="59" t="inlineStr">
        <is>
          <t>2026-10-20</t>
        </is>
      </c>
      <c r="D33" s="59" t="inlineStr">
        <is>
          <t>2026-10-23</t>
        </is>
      </c>
      <c r="E33" s="59" t="inlineStr"/>
      <c r="F33" s="59" t="inlineStr">
        <is>
          <t>Weekly schedule</t>
        </is>
      </c>
    </row>
    <row r="34">
      <c r="A34" s="58" t="inlineStr">
        <is>
          <t xml:space="preserve">  ↳ Week Oct 27-30: Reformation</t>
        </is>
      </c>
      <c r="B34" s="59" t="inlineStr"/>
      <c r="C34" s="59" t="inlineStr">
        <is>
          <t>2026-10-27</t>
        </is>
      </c>
      <c r="D34" s="59" t="inlineStr">
        <is>
          <t>2026-10-30</t>
        </is>
      </c>
      <c r="E34" s="59" t="inlineStr"/>
      <c r="F34" s="59" t="inlineStr">
        <is>
          <t>Weekly schedule</t>
        </is>
      </c>
    </row>
    <row r="35">
      <c r="A35" s="58" t="inlineStr">
        <is>
          <t xml:space="preserve">  ↳ Week Oct 27-30: Reformation  -  Section readings 1</t>
        </is>
      </c>
      <c r="B35" s="59" t="inlineStr"/>
      <c r="C35" s="59" t="inlineStr">
        <is>
          <t>2026-10-27</t>
        </is>
      </c>
      <c r="D35" s="59" t="inlineStr">
        <is>
          <t>2026-10-30</t>
        </is>
      </c>
      <c r="E35" s="59" t="inlineStr"/>
      <c r="F35" s="59" t="inlineStr">
        <is>
          <t>Barbara Diefendorf, ed., The Saint Bartholomew’s Day Massacre: A Brief History with Documents, Introduction, Documents 2-6, 9-11, 16-21, 31, 33</t>
        </is>
      </c>
    </row>
    <row r="36">
      <c r="A36" s="58" t="inlineStr">
        <is>
          <t xml:space="preserve">  ↳ Week Nov 3-6: Witches &amp; Science</t>
        </is>
      </c>
      <c r="B36" s="59" t="inlineStr"/>
      <c r="C36" s="59" t="inlineStr">
        <is>
          <t>2026-11-03</t>
        </is>
      </c>
      <c r="D36" s="59" t="inlineStr">
        <is>
          <t>2026-11-06</t>
        </is>
      </c>
      <c r="E36" s="59" t="inlineStr"/>
      <c r="F36" s="59" t="inlineStr">
        <is>
          <t>Weekly schedule</t>
        </is>
      </c>
    </row>
    <row r="37">
      <c r="A37" s="58" t="inlineStr">
        <is>
          <t xml:space="preserve">  ↳ Week Nov 3-6: Witches &amp; Science  -  Section readings 1</t>
        </is>
      </c>
      <c r="B37" s="59" t="inlineStr"/>
      <c r="C37" s="59" t="inlineStr">
        <is>
          <t>2026-11-03</t>
        </is>
      </c>
      <c r="D37" s="59" t="inlineStr">
        <is>
          <t>2026-11-06</t>
        </is>
      </c>
      <c r="E37" s="59" t="inlineStr"/>
      <c r="F37" s="59" t="inlineStr">
        <is>
          <t>Brian Levack, The Witchcraft Sourcebook, Chaps 36-44, 46-47 103.Levack.36 PDF document 103.Levack.37 PDF document 103.Levack.38 PDF document 103.Levack.39 PDF document 103.Levack.40 PDF document 103.L</t>
        </is>
      </c>
    </row>
    <row r="38">
      <c r="A38" s="58" t="inlineStr">
        <is>
          <t xml:space="preserve">  ↳ Week Nov 10-13: Enlightenment  -  Section readings 1</t>
        </is>
      </c>
      <c r="B38" s="59" t="inlineStr"/>
      <c r="C38" s="59" t="inlineStr">
        <is>
          <t>2026-11-10</t>
        </is>
      </c>
      <c r="D38" s="59" t="inlineStr">
        <is>
          <t>2026-11-13</t>
        </is>
      </c>
      <c r="E38" s="59" t="inlineStr"/>
      <c r="F38" s="59" t="inlineStr">
        <is>
          <t>Excerpt: John Locke, Two Treatises of Government (1689) Excerpt: Rousseau, The Social Contract (1762) Enlightenment Primary Source Activity [Ungraded, but counts towards participation. Due in section]</t>
        </is>
      </c>
    </row>
    <row r="39">
      <c r="A39" s="58" t="inlineStr">
        <is>
          <t xml:space="preserve">  ↳ Week Nov 17-20: Enlightenment</t>
        </is>
      </c>
      <c r="B39" s="59" t="inlineStr"/>
      <c r="C39" s="59" t="inlineStr">
        <is>
          <t>2026-11-17</t>
        </is>
      </c>
      <c r="D39" s="59" t="inlineStr">
        <is>
          <t>2026-11-20</t>
        </is>
      </c>
      <c r="E39" s="59" t="inlineStr"/>
      <c r="F39" s="59" t="inlineStr">
        <is>
          <t>Weekly schedule</t>
        </is>
      </c>
    </row>
    <row r="40">
      <c r="A40" s="58" t="inlineStr">
        <is>
          <t xml:space="preserve">  ↳ Week Nov 17-20: Enlightenment  -  Section readings 1</t>
        </is>
      </c>
      <c r="B40" s="59" t="inlineStr"/>
      <c r="C40" s="59" t="inlineStr">
        <is>
          <t>2026-11-17</t>
        </is>
      </c>
      <c r="D40" s="59" t="inlineStr">
        <is>
          <t>2026-11-20</t>
        </is>
      </c>
      <c r="E40" s="59" t="inlineStr"/>
      <c r="F40" s="59" t="inlineStr">
        <is>
          <t>Video: Africa &amp; Britain, A Forgotten History, Episode 2: Freedom (50 min) Slavery and the African Presence in London Activity [Ungraded but counts towards participation. Due in section] 103.Act.Enslav</t>
        </is>
      </c>
    </row>
    <row r="41">
      <c r="A41" s="9" t="inlineStr">
        <is>
          <t>Identification Quizzes</t>
        </is>
      </c>
      <c r="B41" s="60" t="inlineStr">
        <is>
          <t>5%</t>
        </is>
      </c>
      <c r="C41" s="60" t="inlineStr">
        <is>
          <t>2026-08-25</t>
        </is>
      </c>
      <c r="D41" s="60" t="inlineStr">
        <is>
          <t>2026-12-10</t>
        </is>
      </c>
      <c r="E41" s="60" t="inlineStr">
        <is>
          <t>No</t>
        </is>
      </c>
      <c r="F41" s="61">
        <f>HYPERLINK("https://raw.githubusercontent.com/vengeanceaiUSC/Syllabus-/cursor/add-syllabus-dissector-skill-a676/output/documents/hist-103-identification-quizzes.pdf","Open PDF")</f>
        <v/>
      </c>
    </row>
    <row r="42">
      <c r="A42" s="58" t="inlineStr">
        <is>
          <t xml:space="preserve">  ↳ Week Aug 25-29: Intro &amp; Black Death (lecture topics)</t>
        </is>
      </c>
      <c r="B42" s="59" t="inlineStr"/>
      <c r="C42" s="59" t="inlineStr">
        <is>
          <t>2026-08-25</t>
        </is>
      </c>
      <c r="D42" s="59" t="inlineStr">
        <is>
          <t>2026-08-29</t>
        </is>
      </c>
      <c r="E42" s="59" t="inlineStr"/>
      <c r="F42" s="59" t="inlineStr">
        <is>
          <t>Weekly lecture - quiz prep</t>
        </is>
      </c>
    </row>
    <row r="43">
      <c r="A43" s="58" t="inlineStr">
        <is>
          <t xml:space="preserve">  ↳ Week Sep 1-4: Everyday Life (lecture topics)</t>
        </is>
      </c>
      <c r="B43" s="59" t="inlineStr"/>
      <c r="C43" s="59" t="inlineStr">
        <is>
          <t>2026-09-01</t>
        </is>
      </c>
      <c r="D43" s="59" t="inlineStr">
        <is>
          <t>2026-09-04</t>
        </is>
      </c>
      <c r="E43" s="59" t="inlineStr"/>
      <c r="F43" s="59" t="inlineStr">
        <is>
          <t>Weekly lecture - quiz prep</t>
        </is>
      </c>
    </row>
    <row r="44">
      <c r="A44" s="58" t="inlineStr">
        <is>
          <t xml:space="preserve">  ↳ Week Sep 8-11: Renaissance (lecture topics)</t>
        </is>
      </c>
      <c r="B44" s="59" t="inlineStr"/>
      <c r="C44" s="59" t="inlineStr">
        <is>
          <t>2026-09-08</t>
        </is>
      </c>
      <c r="D44" s="59" t="inlineStr">
        <is>
          <t>2026-09-11</t>
        </is>
      </c>
      <c r="E44" s="59" t="inlineStr"/>
      <c r="F44" s="59" t="inlineStr">
        <is>
          <t>Weekly lecture - quiz prep</t>
        </is>
      </c>
    </row>
    <row r="45">
      <c r="A45" s="58" t="inlineStr">
        <is>
          <t xml:space="preserve">  ↳ Week Sep 15-18: Renaissance (lecture topics)</t>
        </is>
      </c>
      <c r="B45" s="59" t="inlineStr"/>
      <c r="C45" s="59" t="inlineStr">
        <is>
          <t>2026-09-15</t>
        </is>
      </c>
      <c r="D45" s="59" t="inlineStr">
        <is>
          <t>2026-09-18</t>
        </is>
      </c>
      <c r="E45" s="59" t="inlineStr"/>
      <c r="F45" s="59" t="inlineStr">
        <is>
          <t>Weekly lecture - quiz prep</t>
        </is>
      </c>
    </row>
    <row r="46">
      <c r="A46" s="58" t="inlineStr">
        <is>
          <t xml:space="preserve">  ↳ Week Sep 20-24: European Expansion (lecture topics)</t>
        </is>
      </c>
      <c r="B46" s="59" t="inlineStr"/>
      <c r="C46" s="59" t="inlineStr">
        <is>
          <t>2026-09-20</t>
        </is>
      </c>
      <c r="D46" s="59" t="inlineStr">
        <is>
          <t>2026-09-24</t>
        </is>
      </c>
      <c r="E46" s="59" t="inlineStr"/>
      <c r="F46" s="59" t="inlineStr">
        <is>
          <t>Weekly lecture - quiz prep</t>
        </is>
      </c>
    </row>
    <row r="47">
      <c r="A47" s="58" t="inlineStr">
        <is>
          <t xml:space="preserve">  ↳ Week Oct 6-9: Midterm &amp; Break (lecture topics)</t>
        </is>
      </c>
      <c r="B47" s="59" t="inlineStr"/>
      <c r="C47" s="59" t="inlineStr">
        <is>
          <t>2026-10-06</t>
        </is>
      </c>
      <c r="D47" s="59" t="inlineStr">
        <is>
          <t>2026-10-09</t>
        </is>
      </c>
      <c r="E47" s="59" t="inlineStr"/>
      <c r="F47" s="59" t="inlineStr">
        <is>
          <t>Weekly lecture - quiz prep</t>
        </is>
      </c>
    </row>
    <row r="48">
      <c r="A48" s="58" t="inlineStr">
        <is>
          <t xml:space="preserve">  ↳ Week Oct 13-16: The Reformation (lecture topics)</t>
        </is>
      </c>
      <c r="B48" s="59" t="inlineStr"/>
      <c r="C48" s="59" t="inlineStr">
        <is>
          <t>2026-10-13</t>
        </is>
      </c>
      <c r="D48" s="59" t="inlineStr">
        <is>
          <t>2026-10-16</t>
        </is>
      </c>
      <c r="E48" s="59" t="inlineStr"/>
      <c r="F48" s="59" t="inlineStr">
        <is>
          <t>Weekly lecture - quiz prep</t>
        </is>
      </c>
    </row>
    <row r="49">
      <c r="A49" s="58" t="inlineStr">
        <is>
          <t xml:space="preserve">  ↳ Week Oct 20-23: The Reformation (lecture topics)</t>
        </is>
      </c>
      <c r="B49" s="59" t="inlineStr"/>
      <c r="C49" s="59" t="inlineStr">
        <is>
          <t>2026-10-20</t>
        </is>
      </c>
      <c r="D49" s="59" t="inlineStr">
        <is>
          <t>2026-10-23</t>
        </is>
      </c>
      <c r="E49" s="59" t="inlineStr"/>
      <c r="F49" s="59" t="inlineStr">
        <is>
          <t>Weekly lecture - quiz prep</t>
        </is>
      </c>
    </row>
    <row r="50">
      <c r="A50" s="58" t="inlineStr">
        <is>
          <t xml:space="preserve">  ↳ Week Oct 27-30: Reformation (lecture topics)</t>
        </is>
      </c>
      <c r="B50" s="59" t="inlineStr"/>
      <c r="C50" s="59" t="inlineStr">
        <is>
          <t>2026-10-27</t>
        </is>
      </c>
      <c r="D50" s="59" t="inlineStr">
        <is>
          <t>2026-10-30</t>
        </is>
      </c>
      <c r="E50" s="59" t="inlineStr"/>
      <c r="F50" s="59" t="inlineStr">
        <is>
          <t>Weekly lecture - quiz prep</t>
        </is>
      </c>
    </row>
    <row r="51">
      <c r="A51" s="58" t="inlineStr">
        <is>
          <t xml:space="preserve">  ↳ Week Nov 3-6: Witches &amp; Science (lecture topics)</t>
        </is>
      </c>
      <c r="B51" s="59" t="inlineStr"/>
      <c r="C51" s="59" t="inlineStr">
        <is>
          <t>2026-11-03</t>
        </is>
      </c>
      <c r="D51" s="59" t="inlineStr">
        <is>
          <t>2026-11-06</t>
        </is>
      </c>
      <c r="E51" s="59" t="inlineStr"/>
      <c r="F51" s="59" t="inlineStr">
        <is>
          <t>Weekly lecture - quiz prep</t>
        </is>
      </c>
    </row>
    <row r="52">
      <c r="A52" s="58" t="inlineStr">
        <is>
          <t xml:space="preserve">  ↳ Week Nov 10-13: Enlightenment (lecture topics)</t>
        </is>
      </c>
      <c r="B52" s="59" t="inlineStr"/>
      <c r="C52" s="59" t="inlineStr">
        <is>
          <t>2026-11-10</t>
        </is>
      </c>
      <c r="D52" s="59" t="inlineStr">
        <is>
          <t>2026-11-13</t>
        </is>
      </c>
      <c r="E52" s="59" t="inlineStr"/>
      <c r="F52" s="59" t="inlineStr">
        <is>
          <t>Weekly lecture - quiz prep</t>
        </is>
      </c>
    </row>
    <row r="53">
      <c r="A53" s="58" t="inlineStr">
        <is>
          <t xml:space="preserve">  ↳ Week Nov 17-20: Enlightenment (lecture topics)</t>
        </is>
      </c>
      <c r="B53" s="59" t="inlineStr"/>
      <c r="C53" s="59" t="inlineStr">
        <is>
          <t>2026-11-17</t>
        </is>
      </c>
      <c r="D53" s="59" t="inlineStr">
        <is>
          <t>2026-11-20</t>
        </is>
      </c>
      <c r="E53" s="59" t="inlineStr"/>
      <c r="F53" s="59" t="inlineStr">
        <is>
          <t>Weekly lecture - quiz prep</t>
        </is>
      </c>
    </row>
    <row r="54">
      <c r="A54" s="58" t="inlineStr">
        <is>
          <t xml:space="preserve">  ↳ Week Dec 1-4: Modern Europe? (lecture topics)</t>
        </is>
      </c>
      <c r="B54" s="59" t="inlineStr"/>
      <c r="C54" s="59" t="inlineStr">
        <is>
          <t>2026-12-01</t>
        </is>
      </c>
      <c r="D54" s="59" t="inlineStr">
        <is>
          <t>2026-12-04</t>
        </is>
      </c>
      <c r="E54" s="59" t="inlineStr"/>
      <c r="F54" s="59" t="inlineStr">
        <is>
          <t>Weekly lecture - quiz prep</t>
        </is>
      </c>
    </row>
    <row r="55">
      <c r="A55" s="6" t="inlineStr">
        <is>
          <t>Extra Credit</t>
        </is>
      </c>
      <c r="B55" s="56" t="inlineStr">
        <is>
          <t>—</t>
        </is>
      </c>
      <c r="C55" s="56" t="inlineStr"/>
      <c r="D55" s="56" t="inlineStr">
        <is>
          <t>2026-12-04</t>
        </is>
      </c>
      <c r="E55" s="56" t="inlineStr">
        <is>
          <t>No</t>
        </is>
      </c>
      <c r="F55" s="57">
        <f>HYPERLINK("https://raw.githubusercontent.com/vengeanceaiUSC/Syllabus-/cursor/add-syllabus-dissector-skill-a676/output/documents/hist-103-extra-credit.pdf","Open PDF")</f>
        <v/>
      </c>
    </row>
    <row r="56">
      <c r="A56" s="3" t="inlineStr">
        <is>
          <t>Total</t>
        </is>
      </c>
      <c r="B56" s="3" t="inlineStr">
        <is>
          <t>100%</t>
        </is>
      </c>
    </row>
  </sheetData>
  <mergeCells count="3">
    <mergeCell ref="A2:F2"/>
    <mergeCell ref="A1:F1"/>
    <mergeCell ref="B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7F0E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2" customHeight="1">
      <c r="A1" s="12" t="inlineStr">
        <is>
          <t>BUAD-281 — Managerial Accounting</t>
        </is>
      </c>
    </row>
    <row r="2" ht="40" customHeight="1">
      <c r="A2" s="2">
        <f>HYPERLINK("https://raw.githubusercontent.com/vengeanceaiUSC/Syllabus-/cursor/add-syllabus-dissector-skill-a676/output/sources/buad-281-source.pdf","SEE HERE")</f>
        <v/>
      </c>
    </row>
    <row r="3">
      <c r="A3" s="3" t="inlineStr">
        <is>
          <t>Instructor</t>
        </is>
      </c>
      <c r="B3" t="inlineStr">
        <is>
          <t>Braunegg</t>
        </is>
      </c>
    </row>
    <row r="4">
      <c r="A4" s="3" t="inlineStr">
        <is>
          <t>Term</t>
        </is>
      </c>
      <c r="B4" t="inlineStr">
        <is>
          <t>Fall 2026</t>
        </is>
      </c>
    </row>
    <row r="5">
      <c r="A5" s="3" t="inlineStr">
        <is>
          <t>Required for an A</t>
        </is>
      </c>
      <c r="B5" s="4" t="inlineStr">
        <is>
          <t>N/A</t>
        </is>
      </c>
    </row>
    <row r="6">
      <c r="A6" s="3" t="inlineStr">
        <is>
          <t>Grading scale</t>
        </is>
      </c>
      <c r="B6" t="inlineStr">
        <is>
          <t>Total graded points in calendar: 1070 (letter scale not in document)</t>
        </is>
      </c>
    </row>
    <row r="8">
      <c r="A8" s="13" t="inlineStr">
        <is>
          <t>Category</t>
        </is>
      </c>
      <c r="B8" s="13" t="inlineStr">
        <is>
          <t>Weight</t>
        </is>
      </c>
      <c r="C8" s="13" t="inlineStr">
        <is>
          <t>Start Date</t>
        </is>
      </c>
      <c r="D8" s="13" t="inlineStr">
        <is>
          <t>Due Date</t>
        </is>
      </c>
      <c r="E8" s="13" t="inlineStr">
        <is>
          <t>Group Project</t>
        </is>
      </c>
      <c r="F8" s="13" t="inlineStr">
        <is>
          <t>Details</t>
        </is>
      </c>
    </row>
    <row r="9">
      <c r="A9" s="14" t="inlineStr">
        <is>
          <t>Midterm 1</t>
        </is>
      </c>
      <c r="B9" s="62" t="inlineStr">
        <is>
          <t>250 pts</t>
        </is>
      </c>
      <c r="C9" s="62" t="inlineStr"/>
      <c r="D9" s="62" t="inlineStr">
        <is>
          <t>2026-09-30</t>
        </is>
      </c>
      <c r="E9" s="62" t="inlineStr">
        <is>
          <t>No</t>
        </is>
      </c>
      <c r="F9" s="63">
        <f>HYPERLINK("https://raw.githubusercontent.com/vengeanceaiUSC/Syllabus-/cursor/add-syllabus-dissector-skill-a676/output/documents/buad-281-midterm-1.pdf","Open PDF")</f>
        <v/>
      </c>
    </row>
    <row r="10">
      <c r="A10" s="64" t="inlineStr">
        <is>
          <t xml:space="preserve">  ↳ 9/30 Midterm 1: 250 Points Chapters 1, 2, 3, 4, 5, 8</t>
        </is>
      </c>
      <c r="B10" s="65" t="inlineStr"/>
      <c r="C10" s="65" t="inlineStr">
        <is>
          <t>2026-09-30</t>
        </is>
      </c>
      <c r="D10" s="65" t="inlineStr">
        <is>
          <t>2026-09-30</t>
        </is>
      </c>
      <c r="E10" s="65" t="inlineStr"/>
      <c r="F10" s="65" t="inlineStr">
        <is>
          <t>Exam</t>
        </is>
      </c>
    </row>
    <row r="11">
      <c r="A11" s="17" t="inlineStr">
        <is>
          <t>Midterm 2</t>
        </is>
      </c>
      <c r="B11" s="66" t="inlineStr">
        <is>
          <t>250 pts</t>
        </is>
      </c>
      <c r="C11" s="66" t="inlineStr"/>
      <c r="D11" s="66" t="inlineStr">
        <is>
          <t>2026-10-26</t>
        </is>
      </c>
      <c r="E11" s="66" t="inlineStr">
        <is>
          <t>No</t>
        </is>
      </c>
      <c r="F11" s="67">
        <f>HYPERLINK("https://raw.githubusercontent.com/vengeanceaiUSC/Syllabus-/cursor/add-syllabus-dissector-skill-a676/output/documents/buad-281-midterm-2.pdf","Open PDF")</f>
        <v/>
      </c>
    </row>
    <row r="12">
      <c r="A12" s="64" t="inlineStr">
        <is>
          <t xml:space="preserve">  ↳ 10/26 Midterm 2: 250 Points Chapters 6, 7, 9, &amp; 16</t>
        </is>
      </c>
      <c r="B12" s="65" t="inlineStr"/>
      <c r="C12" s="65" t="inlineStr">
        <is>
          <t>2026-10-26</t>
        </is>
      </c>
      <c r="D12" s="65" t="inlineStr">
        <is>
          <t>2026-10-26</t>
        </is>
      </c>
      <c r="E12" s="65" t="inlineStr"/>
      <c r="F12" s="65" t="inlineStr">
        <is>
          <t>Exam</t>
        </is>
      </c>
    </row>
    <row r="13">
      <c r="A13" s="14" t="inlineStr">
        <is>
          <t>Final Exam</t>
        </is>
      </c>
      <c r="B13" s="62" t="inlineStr">
        <is>
          <t>250 pts</t>
        </is>
      </c>
      <c r="C13" s="62" t="inlineStr"/>
      <c r="D13" s="62" t="inlineStr">
        <is>
          <t>2026-12-16</t>
        </is>
      </c>
      <c r="E13" s="62" t="inlineStr">
        <is>
          <t>No</t>
        </is>
      </c>
      <c r="F13" s="63">
        <f>HYPERLINK("https://raw.githubusercontent.com/vengeanceaiUSC/Syllabus-/cursor/add-syllabus-dissector-skill-a676/output/documents/buad-281-final-exam.pdf","Open PDF")</f>
        <v/>
      </c>
    </row>
    <row r="14">
      <c r="A14" s="64" t="inlineStr">
        <is>
          <t xml:space="preserve">  ↳ Final Exam</t>
        </is>
      </c>
      <c r="B14" s="65" t="inlineStr"/>
      <c r="C14" s="65" t="inlineStr">
        <is>
          <t>2026-12-16</t>
        </is>
      </c>
      <c r="D14" s="65" t="inlineStr">
        <is>
          <t>2026-12-16</t>
        </is>
      </c>
      <c r="E14" s="65" t="inlineStr"/>
      <c r="F14" s="65" t="inlineStr">
        <is>
          <t xml:space="preserve">Final Exam: 250 Points | Final Exam; Wednesday,; December 16th; 8:00 AM -10:00 AM PST | ISO date: 2026-12-16 | Chapters </t>
        </is>
      </c>
    </row>
    <row r="15">
      <c r="A15" s="17" t="inlineStr">
        <is>
          <t>Homework</t>
        </is>
      </c>
      <c r="B15" s="66" t="inlineStr">
        <is>
          <t>170 pts</t>
        </is>
      </c>
      <c r="C15" s="66" t="inlineStr">
        <is>
          <t>2026-09-09</t>
        </is>
      </c>
      <c r="D15" s="66" t="inlineStr">
        <is>
          <t>2026-11-16</t>
        </is>
      </c>
      <c r="E15" s="66" t="inlineStr">
        <is>
          <t>No</t>
        </is>
      </c>
      <c r="F15" s="67">
        <f>HYPERLINK("https://raw.githubusercontent.com/vengeanceaiUSC/Syllabus-/cursor/add-syllabus-dissector-skill-a676/output/documents/buad-281-homework.pdf","Open PDF")</f>
        <v/>
      </c>
    </row>
    <row r="16">
      <c r="A16" s="64" t="inlineStr">
        <is>
          <t xml:space="preserve">  ↳ Class 1 (8/24)  -  Course Overview &amp; Introductions</t>
        </is>
      </c>
      <c r="B16" s="65" t="inlineStr"/>
      <c r="C16" s="65" t="inlineStr">
        <is>
          <t>2026-08-24</t>
        </is>
      </c>
      <c r="D16" s="65" t="inlineStr">
        <is>
          <t>2026-08-24</t>
        </is>
      </c>
      <c r="E16" s="65" t="inlineStr"/>
      <c r="F16" s="65" t="inlineStr">
        <is>
          <t>Topic: Course Overview &amp; Introductions</t>
        </is>
      </c>
    </row>
    <row r="17">
      <c r="A17" s="64" t="inlineStr">
        <is>
          <t xml:space="preserve">  ↳ Class 2 (8/26)  -  Role of Managerial accounting</t>
        </is>
      </c>
      <c r="B17" s="65" t="inlineStr"/>
      <c r="C17" s="65" t="inlineStr">
        <is>
          <t>2026-08-26</t>
        </is>
      </c>
      <c r="D17" s="65" t="inlineStr">
        <is>
          <t>2026-08-26</t>
        </is>
      </c>
      <c r="E17" s="65" t="inlineStr"/>
      <c r="F17" s="65" t="inlineStr">
        <is>
          <t>Topic: Role of Managerial accounting | Required Reading: Chapter 1</t>
        </is>
      </c>
    </row>
    <row r="18">
      <c r="A18" s="64" t="inlineStr">
        <is>
          <t xml:space="preserve">  ↳ Class 3 (8/31)  -  Basic Cost Mgt Concepts</t>
        </is>
      </c>
      <c r="B18" s="65" t="inlineStr"/>
      <c r="C18" s="65" t="inlineStr">
        <is>
          <t>2026-08-31</t>
        </is>
      </c>
      <c r="D18" s="65" t="inlineStr">
        <is>
          <t>2026-08-31</t>
        </is>
      </c>
      <c r="E18" s="65" t="inlineStr"/>
      <c r="F18" s="65" t="inlineStr">
        <is>
          <t>Topic: Basic Cost Mgt Concepts | Required Reading: Chapter 2</t>
        </is>
      </c>
    </row>
    <row r="19">
      <c r="A19" s="64" t="inlineStr">
        <is>
          <t xml:space="preserve">  ↳ Class 4 (9/2)  -  Basic Cost Mgt Concepts</t>
        </is>
      </c>
      <c r="B19" s="65" t="inlineStr"/>
      <c r="C19" s="65" t="inlineStr">
        <is>
          <t>2026-09-02</t>
        </is>
      </c>
      <c r="D19" s="65" t="inlineStr">
        <is>
          <t>2026-09-02</t>
        </is>
      </c>
      <c r="E19" s="65" t="inlineStr"/>
      <c r="F19" s="65" t="inlineStr">
        <is>
          <t>Topic: Basic Cost Mgt Concepts | Required Reading: Chapter 2</t>
        </is>
      </c>
    </row>
    <row r="20">
      <c r="A20" s="64" t="inlineStr">
        <is>
          <t xml:space="preserve">  ↳ 9/7  -  No Class Labor Day Holiday</t>
        </is>
      </c>
      <c r="B20" s="65" t="inlineStr"/>
      <c r="C20" s="65" t="inlineStr">
        <is>
          <t>2026-09-07</t>
        </is>
      </c>
      <c r="D20" s="65" t="inlineStr">
        <is>
          <t>2026-09-07</t>
        </is>
      </c>
      <c r="E20" s="65" t="inlineStr"/>
      <c r="F20" s="65" t="inlineStr">
        <is>
          <t>Topic: No Class Labor Day Holiday</t>
        </is>
      </c>
    </row>
    <row r="21">
      <c r="A21" s="64" t="inlineStr">
        <is>
          <t xml:space="preserve">  ↳ Class 5 (9/9)  -  Product Cost Accumulation: Job; Order Costing</t>
        </is>
      </c>
      <c r="B21" s="65" t="inlineStr"/>
      <c r="C21" s="65" t="inlineStr">
        <is>
          <t>2026-09-09</t>
        </is>
      </c>
      <c r="D21" s="65" t="inlineStr">
        <is>
          <t>2026-09-09</t>
        </is>
      </c>
      <c r="E21" s="65" t="inlineStr"/>
      <c r="F21" s="65" t="inlineStr">
        <is>
          <t>Topic: Product Cost Accumulation: Job; Order Costing | Required Reading: Chapter 3 | Homework: 2-29, 2-30, 2-40; 15 Points</t>
        </is>
      </c>
    </row>
    <row r="22">
      <c r="A22" s="64" t="inlineStr">
        <is>
          <t xml:space="preserve">  ↳ Class 6 (9/14)  -  Manufacturing Overhead Normal; Costing</t>
        </is>
      </c>
      <c r="B22" s="65" t="inlineStr"/>
      <c r="C22" s="65" t="inlineStr">
        <is>
          <t>2026-09-14</t>
        </is>
      </c>
      <c r="D22" s="65" t="inlineStr">
        <is>
          <t>2026-09-14</t>
        </is>
      </c>
      <c r="E22" s="65" t="inlineStr"/>
      <c r="F22" s="65" t="inlineStr">
        <is>
          <t>Topic: Manufacturing Overhead Normal; Costing | Required Reading: Chapter 3</t>
        </is>
      </c>
    </row>
    <row r="23">
      <c r="A23" s="64" t="inlineStr">
        <is>
          <t xml:space="preserve">  ↳ Class 7 (9/16)  -  Activity Based Costing</t>
        </is>
      </c>
      <c r="B23" s="65" t="inlineStr"/>
      <c r="C23" s="65" t="inlineStr">
        <is>
          <t>2026-09-16</t>
        </is>
      </c>
      <c r="D23" s="65" t="inlineStr">
        <is>
          <t>2026-09-16</t>
        </is>
      </c>
      <c r="E23" s="65" t="inlineStr"/>
      <c r="F23" s="65" t="inlineStr">
        <is>
          <t>Topic: Activity Based Costing | Required Reading: Chapter 5- ONLY; LO 5.1, 2, 4 &amp; 5 | Homework: 3-24, 3-28, 3-32; 15 Points</t>
        </is>
      </c>
    </row>
    <row r="24">
      <c r="A24" s="64" t="inlineStr">
        <is>
          <t xml:space="preserve">  ↳ Class 8 (9/21)  -  Product Cost Accumulation: Pro-; cess Costing</t>
        </is>
      </c>
      <c r="B24" s="65" t="inlineStr"/>
      <c r="C24" s="65" t="inlineStr">
        <is>
          <t>2026-09-21</t>
        </is>
      </c>
      <c r="D24" s="65" t="inlineStr">
        <is>
          <t>2026-09-21</t>
        </is>
      </c>
      <c r="E24" s="65" t="inlineStr"/>
      <c r="F24" s="65" t="inlineStr">
        <is>
          <t>Topic: Product Cost Accumulation: Pro-; cess Costing | Required Reading: Chapter 4- ONLY; LO 4.1, 3, 4, &amp; 5 | Homework: 5-27 5-46; 10 Points</t>
        </is>
      </c>
    </row>
    <row r="25">
      <c r="A25" s="64" t="inlineStr">
        <is>
          <t xml:space="preserve">  ↳ Class 9 (9/23)  -  Cost of Quality &amp; ESG &amp;; Overview of; • Linked In Learning Excel - 75 </t>
        </is>
      </c>
      <c r="B25" s="65" t="inlineStr"/>
      <c r="C25" s="65" t="inlineStr">
        <is>
          <t>2026-09-23</t>
        </is>
      </c>
      <c r="D25" s="65" t="inlineStr">
        <is>
          <t>2026-09-23</t>
        </is>
      </c>
      <c r="E25" s="65" t="inlineStr"/>
      <c r="F25" s="65" t="inlineStr">
        <is>
          <t>Topic: Cost of Quality &amp; ESG &amp;; Overview of; • Linked In Learning Excel - 75 Points; • Stukent Simternship  | Required Reading: Chapter 8 - ONLY; LO 8.7, 8, 9 | Homework: 4-21, 4-22; 10 Points</t>
        </is>
      </c>
    </row>
    <row r="26">
      <c r="A26" s="64" t="inlineStr">
        <is>
          <t xml:space="preserve">  ↳ Class 10 (9/28)  -  Catchup &amp; Midterm Review</t>
        </is>
      </c>
      <c r="B26" s="65" t="inlineStr"/>
      <c r="C26" s="65" t="inlineStr">
        <is>
          <t>2026-09-28</t>
        </is>
      </c>
      <c r="D26" s="65" t="inlineStr">
        <is>
          <t>2026-09-28</t>
        </is>
      </c>
      <c r="E26" s="65" t="inlineStr"/>
      <c r="F26" s="65" t="inlineStr">
        <is>
          <t>Topic: Catchup &amp; Midterm Review | Homework: 8-28, 8-29; 10 Points</t>
        </is>
      </c>
    </row>
    <row r="27">
      <c r="A27" s="64" t="inlineStr">
        <is>
          <t xml:space="preserve">  ↳ Class 11 (10/5)  -  Cost Estimation</t>
        </is>
      </c>
      <c r="B27" s="65" t="inlineStr"/>
      <c r="C27" s="65" t="inlineStr">
        <is>
          <t>2026-10-05</t>
        </is>
      </c>
      <c r="D27" s="65" t="inlineStr">
        <is>
          <t>2026-10-05</t>
        </is>
      </c>
      <c r="E27" s="65" t="inlineStr"/>
      <c r="F27" s="65" t="inlineStr">
        <is>
          <t>Topic: Cost Estimation | Required Reading: Chapter 6</t>
        </is>
      </c>
    </row>
    <row r="28">
      <c r="A28" s="64" t="inlineStr">
        <is>
          <t xml:space="preserve">  ↳ Class 12 (10/7)  -  Cost volume profit analysis</t>
        </is>
      </c>
      <c r="B28" s="65" t="inlineStr"/>
      <c r="C28" s="65" t="inlineStr">
        <is>
          <t>2026-10-07</t>
        </is>
      </c>
      <c r="D28" s="65" t="inlineStr">
        <is>
          <t>2026-10-07</t>
        </is>
      </c>
      <c r="E28" s="65" t="inlineStr"/>
      <c r="F28" s="65" t="inlineStr">
        <is>
          <t>Topic: Cost volume profit analysis | Required Reading: Chapter 7 | Homework: 6-24, 6-25, 6-34; 15 Points</t>
        </is>
      </c>
    </row>
    <row r="29">
      <c r="A29" s="64" t="inlineStr">
        <is>
          <t xml:space="preserve">  ↳ Class 13 (10/12)  -  Cost volume profit analysis &amp;</t>
        </is>
      </c>
      <c r="B29" s="65" t="inlineStr"/>
      <c r="C29" s="65" t="inlineStr">
        <is>
          <t>2026-10-12</t>
        </is>
      </c>
      <c r="D29" s="65" t="inlineStr">
        <is>
          <t>2026-10-12</t>
        </is>
      </c>
      <c r="E29" s="65" t="inlineStr"/>
      <c r="F29" s="65" t="inlineStr">
        <is>
          <t>Topic: Cost volume profit analysis &amp; | Required Reading: Chapter 7</t>
        </is>
      </c>
    </row>
    <row r="30">
      <c r="A30" s="64" t="inlineStr">
        <is>
          <t xml:space="preserve">  ↳ Class 14 (10/14)  -  Financial planning and analysis:; Static Master Budget;</t>
        </is>
      </c>
      <c r="B30" s="65" t="inlineStr"/>
      <c r="C30" s="65" t="inlineStr">
        <is>
          <t>2026-10-14</t>
        </is>
      </c>
      <c r="D30" s="65" t="inlineStr">
        <is>
          <t>2026-10-14</t>
        </is>
      </c>
      <c r="E30" s="65" t="inlineStr"/>
      <c r="F30" s="65" t="inlineStr">
        <is>
          <t>Topic: Financial planning and analysis:; Static Master Budget; | Required Reading: Chapter 9 | Homework: 7-29, 7-33, 7-40; 15 Points</t>
        </is>
      </c>
    </row>
    <row r="31">
      <c r="A31" s="64" t="inlineStr">
        <is>
          <t xml:space="preserve">  ↳ Class 15 (10/19)  -  Capital Budgeting; Practice Midterm Questions Posted to Brightspace by</t>
        </is>
      </c>
      <c r="B31" s="65" t="inlineStr"/>
      <c r="C31" s="65" t="inlineStr">
        <is>
          <t>2026-10-19</t>
        </is>
      </c>
      <c r="D31" s="65" t="inlineStr">
        <is>
          <t>2026-10-19</t>
        </is>
      </c>
      <c r="E31" s="65" t="inlineStr"/>
      <c r="F31" s="65" t="inlineStr">
        <is>
          <t>Topic: Capital Budgeting; Practice Midterm Questions Posted to Brightspace by; 5:00 PM | Required Reading: Chapter 16- ONLY; LO 16.1, 2, 3 | Homework: 9-25, 9-28, 9-37; 15 - Points</t>
        </is>
      </c>
    </row>
    <row r="32">
      <c r="A32" s="64" t="inlineStr">
        <is>
          <t xml:space="preserve">  ↳ Class 16 (10/21)  -  Catchup &amp; Midterm Review</t>
        </is>
      </c>
      <c r="B32" s="65" t="inlineStr"/>
      <c r="C32" s="65" t="inlineStr">
        <is>
          <t>2026-10-21</t>
        </is>
      </c>
      <c r="D32" s="65" t="inlineStr">
        <is>
          <t>2026-10-21</t>
        </is>
      </c>
      <c r="E32" s="65" t="inlineStr"/>
      <c r="F32" s="65" t="inlineStr">
        <is>
          <t>Topic: Catchup &amp; Midterm Review | Homework: 16-28, 16-40; 10 Points</t>
        </is>
      </c>
    </row>
    <row r="33">
      <c r="A33" s="64" t="inlineStr">
        <is>
          <t xml:space="preserve">  ↳ Class 17 (10/28)  -  Guest Speaker</t>
        </is>
      </c>
      <c r="B33" s="65" t="inlineStr"/>
      <c r="C33" s="65" t="inlineStr">
        <is>
          <t>2026-10-28</t>
        </is>
      </c>
      <c r="D33" s="65" t="inlineStr">
        <is>
          <t>2026-10-28</t>
        </is>
      </c>
      <c r="E33" s="65" t="inlineStr"/>
      <c r="F33" s="65" t="inlineStr">
        <is>
          <t>Topic: Guest Speaker</t>
        </is>
      </c>
    </row>
    <row r="34">
      <c r="A34" s="64" t="inlineStr">
        <is>
          <t xml:space="preserve">  ↳ Class 19 (11/2)  -  Standard Costing &amp; Direct Cost; Variance Analysis</t>
        </is>
      </c>
      <c r="B34" s="65" t="inlineStr"/>
      <c r="C34" s="65" t="inlineStr">
        <is>
          <t>2026-11-02</t>
        </is>
      </c>
      <c r="D34" s="65" t="inlineStr">
        <is>
          <t>2026-11-02</t>
        </is>
      </c>
      <c r="E34" s="65" t="inlineStr"/>
      <c r="F34" s="65" t="inlineStr">
        <is>
          <t>Topic: Standard Costing &amp; Direct Cost; Variance Analysis | Required Reading: Chapter 10 – ONLY; LO 10.1 thru 8</t>
        </is>
      </c>
    </row>
    <row r="35">
      <c r="A35" s="64" t="inlineStr">
        <is>
          <t xml:space="preserve">  ↳ Class 19 (11/4)  -  Sales Variance Analysis; Flexible Budgeting</t>
        </is>
      </c>
      <c r="B35" s="65" t="inlineStr"/>
      <c r="C35" s="65" t="inlineStr">
        <is>
          <t>2026-11-04</t>
        </is>
      </c>
      <c r="D35" s="65" t="inlineStr">
        <is>
          <t>2026-11-04</t>
        </is>
      </c>
      <c r="E35" s="65" t="inlineStr"/>
      <c r="F35" s="65" t="inlineStr">
        <is>
          <t>Topic: Sales Variance Analysis; Flexible Budgeting | Required Reading: Chapter 11 - ONLY; LO 11.1, 11.2 &amp;; Appendix B | Homework: 10-26, 10-30; 10 Points</t>
        </is>
      </c>
    </row>
    <row r="36">
      <c r="A36" s="64" t="inlineStr">
        <is>
          <t xml:space="preserve">  ↳ Class 20 (11/9)  -  Investment Centers</t>
        </is>
      </c>
      <c r="B36" s="65" t="inlineStr"/>
      <c r="C36" s="65" t="inlineStr">
        <is>
          <t>2026-11-09</t>
        </is>
      </c>
      <c r="D36" s="65" t="inlineStr">
        <is>
          <t>2026-11-09</t>
        </is>
      </c>
      <c r="E36" s="65" t="inlineStr"/>
      <c r="F36" s="65" t="inlineStr">
        <is>
          <t>Topic: Investment Centers | Required Reading: Chapter 13- ONLY; LO 13-1, 2, 3, 4 | Homework: 11-31, 11-52; 10 Points</t>
        </is>
      </c>
    </row>
    <row r="37">
      <c r="A37" s="64" t="inlineStr">
        <is>
          <t xml:space="preserve">  ↳ 11/11  -  No Class Veterans Day</t>
        </is>
      </c>
      <c r="B37" s="65" t="inlineStr"/>
      <c r="C37" s="65" t="inlineStr">
        <is>
          <t>2026-11-11</t>
        </is>
      </c>
      <c r="D37" s="65" t="inlineStr">
        <is>
          <t>2026-11-11</t>
        </is>
      </c>
      <c r="E37" s="65" t="inlineStr"/>
      <c r="F37" s="65" t="inlineStr">
        <is>
          <t>Topic: No Class Veterans Day</t>
        </is>
      </c>
    </row>
    <row r="38">
      <c r="A38" s="64" t="inlineStr">
        <is>
          <t xml:space="preserve">  ↳ Class 21 (11/16)  -  AI &amp; FP&amp;A</t>
        </is>
      </c>
      <c r="B38" s="65" t="inlineStr"/>
      <c r="C38" s="65" t="inlineStr">
        <is>
          <t>2026-11-16</t>
        </is>
      </c>
      <c r="D38" s="65" t="inlineStr">
        <is>
          <t>2026-11-16</t>
        </is>
      </c>
      <c r="E38" s="65" t="inlineStr"/>
      <c r="F38" s="65" t="inlineStr">
        <is>
          <t>Topic: AI &amp; FP&amp;A | Homework: 13-29, 13-33; 10 Points</t>
        </is>
      </c>
    </row>
    <row r="39">
      <c r="A39" s="64" t="inlineStr">
        <is>
          <t xml:space="preserve">  ↳ Class 22 (11/18)  -  Decision-making: relevant costs; and benefits</t>
        </is>
      </c>
      <c r="B39" s="65" t="inlineStr"/>
      <c r="C39" s="65" t="inlineStr">
        <is>
          <t>2026-11-18</t>
        </is>
      </c>
      <c r="D39" s="65" t="inlineStr">
        <is>
          <t>2026-11-18</t>
        </is>
      </c>
      <c r="E39" s="65" t="inlineStr"/>
      <c r="F39" s="65" t="inlineStr">
        <is>
          <t>Topic: Decision-making: relevant costs; and benefits | Required Reading: Chapter 14; (Part 1 of 3)</t>
        </is>
      </c>
    </row>
    <row r="40">
      <c r="A40" s="64" t="inlineStr">
        <is>
          <t xml:space="preserve">  ↳ Class 23 (11/23)  -  Decision-making: relevant costs; and benefits</t>
        </is>
      </c>
      <c r="B40" s="65" t="inlineStr"/>
      <c r="C40" s="65" t="inlineStr">
        <is>
          <t>2026-11-23</t>
        </is>
      </c>
      <c r="D40" s="65" t="inlineStr">
        <is>
          <t>2026-11-23</t>
        </is>
      </c>
      <c r="E40" s="65" t="inlineStr"/>
      <c r="F40" s="65" t="inlineStr">
        <is>
          <t>Topic: Decision-making: relevant costs; and benefits | Required Reading: Chapter 14; (Part 2 of 3)</t>
        </is>
      </c>
    </row>
    <row r="41">
      <c r="A41" s="64" t="inlineStr">
        <is>
          <t xml:space="preserve">  ↳ 11/25  -  No Class Thanksgiving Holiday</t>
        </is>
      </c>
      <c r="B41" s="65" t="inlineStr"/>
      <c r="C41" s="65" t="inlineStr">
        <is>
          <t>2026-11-25</t>
        </is>
      </c>
      <c r="D41" s="65" t="inlineStr">
        <is>
          <t>2026-11-25</t>
        </is>
      </c>
      <c r="E41" s="65" t="inlineStr"/>
      <c r="F41" s="65" t="inlineStr">
        <is>
          <t>Topic: No Class Thanksgiving Holiday</t>
        </is>
      </c>
    </row>
    <row r="42">
      <c r="A42" s="64" t="inlineStr">
        <is>
          <t xml:space="preserve">  ↳ Class 24 (11/30)  -  Decision-making: relevant costs; and benefits</t>
        </is>
      </c>
      <c r="B42" s="65" t="inlineStr"/>
      <c r="C42" s="65" t="inlineStr">
        <is>
          <t>2026-11-30</t>
        </is>
      </c>
      <c r="D42" s="65" t="inlineStr">
        <is>
          <t>2026-11-30</t>
        </is>
      </c>
      <c r="E42" s="65" t="inlineStr"/>
      <c r="F42" s="65" t="inlineStr">
        <is>
          <t>Topic: Decision-making: relevant costs; and benefits | Required Reading: Chapter 14; (Part 3 of 3)</t>
        </is>
      </c>
    </row>
    <row r="43">
      <c r="A43" s="64" t="inlineStr">
        <is>
          <t xml:space="preserve">  ↳ Class 2 (12/2)  -  Catchup &amp; Final Review; Practice Final Questions Posted to Brightspace</t>
        </is>
      </c>
      <c r="B43" s="65" t="inlineStr"/>
      <c r="C43" s="65" t="inlineStr">
        <is>
          <t>2026-12-02</t>
        </is>
      </c>
      <c r="D43" s="65" t="inlineStr">
        <is>
          <t>2026-12-02</t>
        </is>
      </c>
      <c r="E43" s="65" t="inlineStr"/>
      <c r="F43" s="65" t="inlineStr">
        <is>
          <t>Topic: Catchup &amp; Final Review; Practice Final Questions Posted to Brightspace at; 5:00 PM | Homework: 14-35, 14-41; 10 Points; Assignments listed Be-; low Due by11:59 PM; Linked In Learning; Excel Certi</t>
        </is>
      </c>
    </row>
    <row r="44">
      <c r="A44" s="14" t="inlineStr">
        <is>
          <t>LinkedIn Learning Excel Certification</t>
        </is>
      </c>
      <c r="B44" s="62" t="inlineStr">
        <is>
          <t>75 pts</t>
        </is>
      </c>
      <c r="C44" s="62" t="inlineStr">
        <is>
          <t>2026-09-23</t>
        </is>
      </c>
      <c r="D44" s="62" t="inlineStr">
        <is>
          <t>2026-12-02</t>
        </is>
      </c>
      <c r="E44" s="62" t="inlineStr">
        <is>
          <t>No</t>
        </is>
      </c>
      <c r="F44" s="63">
        <f>HYPERLINK("https://raw.githubusercontent.com/vengeanceaiUSC/Syllabus-/cursor/add-syllabus-dissector-skill-a676/output/documents/buad-281-linkedin-learning-excel-certification.pdf","Open PDF")</f>
        <v/>
      </c>
    </row>
    <row r="45">
      <c r="A45" s="64" t="inlineStr">
        <is>
          <t xml:space="preserve">  ↳ LinkedIn Learning Excel Certification</t>
        </is>
      </c>
      <c r="B45" s="65" t="inlineStr"/>
      <c r="C45" s="65" t="inlineStr">
        <is>
          <t>2026-09-23</t>
        </is>
      </c>
      <c r="D45" s="65" t="inlineStr">
        <is>
          <t>2026-12-02</t>
        </is>
      </c>
      <c r="E45" s="65" t="inlineStr"/>
      <c r="F45" s="65" t="inlineStr">
        <is>
          <t>Certification (Course Calendar)</t>
        </is>
      </c>
    </row>
    <row r="46">
      <c r="A46" s="17" t="inlineStr">
        <is>
          <t>Stukent Simternship</t>
        </is>
      </c>
      <c r="B46" s="66" t="inlineStr">
        <is>
          <t>75 pts</t>
        </is>
      </c>
      <c r="C46" s="66" t="inlineStr">
        <is>
          <t>2026-09-23</t>
        </is>
      </c>
      <c r="D46" s="66" t="inlineStr">
        <is>
          <t>2026-12-02</t>
        </is>
      </c>
      <c r="E46" s="66" t="inlineStr">
        <is>
          <t>No</t>
        </is>
      </c>
      <c r="F46" s="67">
        <f>HYPERLINK("https://raw.githubusercontent.com/vengeanceaiUSC/Syllabus-/cursor/add-syllabus-dissector-skill-a676/output/documents/buad-281-stukent-simternship.pdf","Open PDF")</f>
        <v/>
      </c>
    </row>
    <row r="47">
      <c r="A47" s="64" t="inlineStr">
        <is>
          <t xml:space="preserve">  ↳ Stukent Simternship</t>
        </is>
      </c>
      <c r="B47" s="65" t="inlineStr"/>
      <c r="C47" s="65" t="inlineStr">
        <is>
          <t>2026-09-23</t>
        </is>
      </c>
      <c r="D47" s="65" t="inlineStr">
        <is>
          <t>2026-12-02</t>
        </is>
      </c>
      <c r="E47" s="65" t="inlineStr"/>
      <c r="F47" s="65" t="inlineStr">
        <is>
          <t>Certification (Course Calendar)</t>
        </is>
      </c>
    </row>
    <row r="48">
      <c r="A48" s="3" t="inlineStr">
        <is>
          <t>Total</t>
        </is>
      </c>
      <c r="B48" s="3" t="inlineStr">
        <is>
          <t>1070 pts</t>
        </is>
      </c>
    </row>
  </sheetData>
  <mergeCells count="3">
    <mergeCell ref="A2:F2"/>
    <mergeCell ref="A1:F1"/>
    <mergeCell ref="B6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77B4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2" customHeight="1">
      <c r="A1" s="20" t="inlineStr">
        <is>
          <t>BUAD-304 — Organizational Behavior and Leadership</t>
        </is>
      </c>
    </row>
    <row r="2" ht="40" customHeight="1">
      <c r="A2" s="2">
        <f>HYPERLINK("https://raw.githubusercontent.com/vengeanceaiUSC/Syllabus-/cursor/add-syllabus-dissector-skill-a676/output/sources/buad-304-source.pdf","SEE HERE")</f>
        <v/>
      </c>
    </row>
    <row r="3">
      <c r="A3" s="3" t="inlineStr">
        <is>
          <t>Instructor</t>
        </is>
      </c>
      <c r="B3" t="inlineStr">
        <is>
          <t>Christine El Haddad</t>
        </is>
      </c>
    </row>
    <row r="4">
      <c r="A4" s="3" t="inlineStr">
        <is>
          <t>Term</t>
        </is>
      </c>
      <c r="B4" t="inlineStr">
        <is>
          <t>Fall 2026</t>
        </is>
      </c>
    </row>
    <row r="5">
      <c r="A5" s="3" t="inlineStr">
        <is>
          <t>Required for an A</t>
        </is>
      </c>
      <c r="B5" s="4" t="inlineStr">
        <is>
          <t>Curved (class rank)</t>
        </is>
      </c>
    </row>
    <row r="6">
      <c r="A6" s="3" t="inlineStr">
        <is>
          <t>Grading scale</t>
        </is>
      </c>
      <c r="B6" t="inlineStr">
        <is>
          <t>Weighted score (% of points earned) + class average + student ranking (relative grading - no fixed A threshold in syllabus)</t>
        </is>
      </c>
    </row>
    <row r="8">
      <c r="A8" s="21" t="inlineStr">
        <is>
          <t>Category</t>
        </is>
      </c>
      <c r="B8" s="21" t="inlineStr">
        <is>
          <t>Weight</t>
        </is>
      </c>
      <c r="C8" s="21" t="inlineStr">
        <is>
          <t>Start Date</t>
        </is>
      </c>
      <c r="D8" s="21" t="inlineStr">
        <is>
          <t>Due Date</t>
        </is>
      </c>
      <c r="E8" s="21" t="inlineStr">
        <is>
          <t>Group Project</t>
        </is>
      </c>
      <c r="F8" s="21" t="inlineStr">
        <is>
          <t>Details</t>
        </is>
      </c>
    </row>
    <row r="9">
      <c r="A9" s="22" t="inlineStr">
        <is>
          <t>Final Exam</t>
        </is>
      </c>
      <c r="B9" s="68" t="inlineStr">
        <is>
          <t>25%</t>
        </is>
      </c>
      <c r="C9" s="68" t="inlineStr">
        <is>
          <t>2026-08-24</t>
        </is>
      </c>
      <c r="D9" s="68" t="inlineStr">
        <is>
          <t>2026-12-09</t>
        </is>
      </c>
      <c r="E9" s="68" t="inlineStr">
        <is>
          <t>No</t>
        </is>
      </c>
      <c r="F9" s="69">
        <f>HYPERLINK("https://raw.githubusercontent.com/vengeanceaiUSC/Syllabus-/cursor/add-syllabus-dissector-skill-a676/output/documents/buad-304-final-exam.pdf","Open PDF")</f>
        <v/>
      </c>
    </row>
    <row r="10">
      <c r="A10" s="42" t="inlineStr">
        <is>
          <t xml:space="preserve">  ↳ Final Exam</t>
        </is>
      </c>
      <c r="B10" s="70" t="inlineStr"/>
      <c r="C10" s="70" t="inlineStr">
        <is>
          <t>2026-08-24</t>
        </is>
      </c>
      <c r="D10" s="70" t="inlineStr">
        <is>
          <t>2026-12-09</t>
        </is>
      </c>
      <c r="E10" s="70" t="inlineStr"/>
      <c r="F10" s="70" t="inlineStr">
        <is>
          <t>Course Schedule due date</t>
        </is>
      </c>
    </row>
    <row r="11">
      <c r="A11" s="25" t="inlineStr">
        <is>
          <t>Participation</t>
        </is>
      </c>
      <c r="B11" s="71" t="inlineStr">
        <is>
          <t>15%</t>
        </is>
      </c>
      <c r="C11" s="71" t="inlineStr">
        <is>
          <t>2026-08-24</t>
        </is>
      </c>
      <c r="D11" s="71" t="inlineStr">
        <is>
          <t>2026-12-04</t>
        </is>
      </c>
      <c r="E11" s="71" t="inlineStr">
        <is>
          <t>No</t>
        </is>
      </c>
      <c r="F11" s="72">
        <f>HYPERLINK("https://raw.githubusercontent.com/vengeanceaiUSC/Syllabus-/cursor/add-syllabus-dissector-skill-a676/output/documents/buad-304-participation.pdf","Open PDF")</f>
        <v/>
      </c>
    </row>
    <row r="12">
      <c r="A12" s="42" t="inlineStr">
        <is>
          <t xml:space="preserve">  ↳ Research: Setup deadline (registration, prescreening, contacts)</t>
        </is>
      </c>
      <c r="B12" s="70" t="inlineStr"/>
      <c r="C12" s="70" t="inlineStr"/>
      <c r="D12" s="70" t="inlineStr">
        <is>
          <t>2026-09-25</t>
        </is>
      </c>
      <c r="E12" s="70" t="inlineStr"/>
      <c r="F12" s="70" t="inlineStr">
        <is>
          <t>Research Participation Guide</t>
        </is>
      </c>
    </row>
    <row r="13">
      <c r="A13" s="42" t="inlineStr">
        <is>
          <t xml:space="preserve">  ↳ Research: Employee contact surveys sent</t>
        </is>
      </c>
      <c r="B13" s="70" t="inlineStr"/>
      <c r="C13" s="70" t="inlineStr"/>
      <c r="D13" s="70" t="inlineStr">
        <is>
          <t>2026-10-26</t>
        </is>
      </c>
      <c r="E13" s="70" t="inlineStr"/>
      <c r="F13" s="70" t="inlineStr">
        <is>
          <t>Research Participation Guide</t>
        </is>
      </c>
    </row>
    <row r="14">
      <c r="A14" s="42" t="inlineStr">
        <is>
          <t xml:space="preserve">  ↳ Research: Complete 2.0 research credits</t>
        </is>
      </c>
      <c r="B14" s="70" t="inlineStr"/>
      <c r="C14" s="70" t="inlineStr"/>
      <c r="D14" s="70" t="inlineStr">
        <is>
          <t>2026-12-04</t>
        </is>
      </c>
      <c r="E14" s="70" t="inlineStr"/>
      <c r="F14" s="70" t="inlineStr">
        <is>
          <t>Research Participation Guide</t>
        </is>
      </c>
    </row>
    <row r="15">
      <c r="A15" s="42" t="inlineStr">
        <is>
          <t xml:space="preserve">  ↳ Connect: Sharpen Companion</t>
        </is>
      </c>
      <c r="B15" s="70" t="inlineStr"/>
      <c r="C15" s="70" t="inlineStr">
        <is>
          <t>N/A</t>
        </is>
      </c>
      <c r="D15" s="70" t="inlineStr">
        <is>
          <t>2026-09-04</t>
        </is>
      </c>
      <c r="E15" s="70" t="inlineStr"/>
      <c r="F15" s="70" t="inlineStr">
        <is>
          <t>Brightspace Connect module</t>
        </is>
      </c>
    </row>
    <row r="16">
      <c r="A16" s="42" t="inlineStr">
        <is>
          <t xml:space="preserve">  ↳ Research: SONA registration opens</t>
        </is>
      </c>
      <c r="B16" s="70" t="inlineStr"/>
      <c r="C16" s="70" t="inlineStr">
        <is>
          <t>2026-08-24</t>
        </is>
      </c>
      <c r="D16" s="70" t="inlineStr"/>
      <c r="E16" s="70" t="inlineStr"/>
      <c r="F16" s="70" t="inlineStr">
        <is>
          <t>Research Participation Guide</t>
        </is>
      </c>
    </row>
    <row r="17">
      <c r="A17" s="42" t="inlineStr">
        <is>
          <t xml:space="preserve">  ↳ Connect: Self-Assessment 11.01 - What is my</t>
        </is>
      </c>
      <c r="B17" s="70" t="inlineStr"/>
      <c r="C17" s="70" t="inlineStr">
        <is>
          <t>2026-08-24</t>
        </is>
      </c>
      <c r="D17" s="70" t="inlineStr">
        <is>
          <t>2026-12-20</t>
        </is>
      </c>
      <c r="E17" s="70" t="inlineStr"/>
      <c r="F17" s="70" t="inlineStr">
        <is>
          <t>Assigned in class week of 2026-09-09; Connect window</t>
        </is>
      </c>
    </row>
    <row r="18">
      <c r="A18" s="42" t="inlineStr">
        <is>
          <t xml:space="preserve">  ↳ Connect: Self-Assessment 11.02 - What is my</t>
        </is>
      </c>
      <c r="B18" s="70" t="inlineStr"/>
      <c r="C18" s="70" t="inlineStr">
        <is>
          <t>2026-08-24</t>
        </is>
      </c>
      <c r="D18" s="70" t="inlineStr">
        <is>
          <t>2026-12-20</t>
        </is>
      </c>
      <c r="E18" s="70" t="inlineStr"/>
      <c r="F18" s="70" t="inlineStr">
        <is>
          <t>Assigned in class week of 2026-09-09; Connect window</t>
        </is>
      </c>
    </row>
    <row r="19">
      <c r="A19" s="42" t="inlineStr">
        <is>
          <t xml:space="preserve">  ↳ Connect: Self-Assessment 12.02 - Which influence</t>
        </is>
      </c>
      <c r="B19" s="70" t="inlineStr"/>
      <c r="C19" s="70" t="inlineStr">
        <is>
          <t>2026-08-24</t>
        </is>
      </c>
      <c r="D19" s="70" t="inlineStr">
        <is>
          <t>2026-12-20</t>
        </is>
      </c>
      <c r="E19" s="70" t="inlineStr"/>
      <c r="F19" s="70" t="inlineStr">
        <is>
          <t>Assigned in class week of 2026-08-24; Connect window</t>
        </is>
      </c>
    </row>
    <row r="20">
      <c r="A20" s="42" t="inlineStr">
        <is>
          <t xml:space="preserve">  ↳ Connect: Self-Assessment 3.01 - What is my Big thinking about your topics and</t>
        </is>
      </c>
      <c r="B20" s="70" t="inlineStr"/>
      <c r="C20" s="70" t="inlineStr">
        <is>
          <t>2026-08-24</t>
        </is>
      </c>
      <c r="D20" s="70" t="inlineStr">
        <is>
          <t>2026-12-20</t>
        </is>
      </c>
      <c r="E20" s="70" t="inlineStr"/>
      <c r="F20" s="70" t="inlineStr">
        <is>
          <t>Assigned in class week of 2026-08-31; Connect window</t>
        </is>
      </c>
    </row>
    <row r="21">
      <c r="A21" s="42" t="inlineStr">
        <is>
          <t xml:space="preserve">  ↳ Connect: Self-Assessment 3.04 - What Is Your Level</t>
        </is>
      </c>
      <c r="B21" s="70" t="inlineStr"/>
      <c r="C21" s="70" t="inlineStr">
        <is>
          <t>2026-08-24</t>
        </is>
      </c>
      <c r="D21" s="70" t="inlineStr">
        <is>
          <t>2026-12-20</t>
        </is>
      </c>
      <c r="E21" s="70" t="inlineStr"/>
      <c r="F21" s="70" t="inlineStr">
        <is>
          <t>Assigned in class week of 2026-08-31; Connect window</t>
        </is>
      </c>
    </row>
    <row r="22">
      <c r="A22" s="42" t="inlineStr">
        <is>
          <t xml:space="preserve">  ↳ Connect: Self-Assessment 5.01 - Assessing Your</t>
        </is>
      </c>
      <c r="B22" s="70" t="inlineStr"/>
      <c r="C22" s="70" t="inlineStr">
        <is>
          <t>2026-08-24</t>
        </is>
      </c>
      <c r="D22" s="70" t="inlineStr">
        <is>
          <t>2026-12-20</t>
        </is>
      </c>
      <c r="E22" s="70" t="inlineStr"/>
      <c r="F22" s="70" t="inlineStr">
        <is>
          <t>Assigned in class week of 2026-09-02; Connect window</t>
        </is>
      </c>
    </row>
    <row r="23">
      <c r="A23" s="42" t="inlineStr">
        <is>
          <t xml:space="preserve">  ↳ Research: Prescreening questionnaire opens</t>
        </is>
      </c>
      <c r="B23" s="70" t="inlineStr"/>
      <c r="C23" s="70" t="inlineStr">
        <is>
          <t>2026-09-11</t>
        </is>
      </c>
      <c r="D23" s="70" t="inlineStr"/>
      <c r="E23" s="70" t="inlineStr"/>
      <c r="F23" s="70" t="inlineStr">
        <is>
          <t>Research Participation Guide</t>
        </is>
      </c>
    </row>
    <row r="24">
      <c r="A24" s="42" t="inlineStr">
        <is>
          <t xml:space="preserve">  ↳ Research: Study invitations begin (after setup)</t>
        </is>
      </c>
      <c r="B24" s="70" t="inlineStr"/>
      <c r="C24" s="70" t="inlineStr">
        <is>
          <t>2026-09-26</t>
        </is>
      </c>
      <c r="D24" s="70" t="inlineStr"/>
      <c r="E24" s="70" t="inlineStr"/>
      <c r="F24" s="70" t="inlineStr">
        <is>
          <t>Research Participation Guide</t>
        </is>
      </c>
    </row>
    <row r="25">
      <c r="A25" s="22" t="inlineStr">
        <is>
          <t>Midterm Exam</t>
        </is>
      </c>
      <c r="B25" s="68" t="inlineStr">
        <is>
          <t>15%</t>
        </is>
      </c>
      <c r="C25" s="68" t="inlineStr">
        <is>
          <t>2026-08-24</t>
        </is>
      </c>
      <c r="D25" s="68" t="inlineStr">
        <is>
          <t>2026-10-14</t>
        </is>
      </c>
      <c r="E25" s="68" t="inlineStr">
        <is>
          <t>No</t>
        </is>
      </c>
      <c r="F25" s="69">
        <f>HYPERLINK("https://raw.githubusercontent.com/vengeanceaiUSC/Syllabus-/cursor/add-syllabus-dissector-skill-a676/output/documents/buad-304-midterm-exam.pdf","Open PDF")</f>
        <v/>
      </c>
    </row>
    <row r="26">
      <c r="A26" s="42" t="inlineStr">
        <is>
          <t xml:space="preserve">  ↳ Midterm Exam</t>
        </is>
      </c>
      <c r="B26" s="70" t="inlineStr"/>
      <c r="C26" s="70" t="inlineStr">
        <is>
          <t>2026-08-24</t>
        </is>
      </c>
      <c r="D26" s="70" t="inlineStr">
        <is>
          <t>2026-10-14</t>
        </is>
      </c>
      <c r="E26" s="70" t="inlineStr"/>
      <c r="F26" s="70" t="inlineStr">
        <is>
          <t>Course Schedule due date</t>
        </is>
      </c>
    </row>
    <row r="27">
      <c r="A27" s="25" t="inlineStr">
        <is>
          <t>Team Project Paper</t>
        </is>
      </c>
      <c r="B27" s="71" t="inlineStr">
        <is>
          <t>15%</t>
        </is>
      </c>
      <c r="C27" s="71" t="inlineStr">
        <is>
          <t>2026-08-31</t>
        </is>
      </c>
      <c r="D27" s="71" t="inlineStr">
        <is>
          <t>2026-11-09</t>
        </is>
      </c>
      <c r="E27" s="71" t="inlineStr">
        <is>
          <t>Yes</t>
        </is>
      </c>
      <c r="F27" s="72">
        <f>HYPERLINK("https://raw.githubusercontent.com/vengeanceaiUSC/Syllabus-/cursor/add-syllabus-dissector-skill-a676/output/documents/buad-304-team-project-paper.pdf","Open PDF")</f>
        <v/>
      </c>
    </row>
    <row r="28">
      <c r="A28" s="42" t="inlineStr">
        <is>
          <t xml:space="preserve">  ↳ Connect: Self-Assessment 14.02 - What Type of Organizational Culture Do I</t>
        </is>
      </c>
      <c r="B28" s="70" t="inlineStr"/>
      <c r="C28" s="70" t="inlineStr">
        <is>
          <t>2026-08-24</t>
        </is>
      </c>
      <c r="D28" s="70" t="inlineStr">
        <is>
          <t>2026-12-20</t>
        </is>
      </c>
      <c r="E28" s="70" t="inlineStr"/>
      <c r="F28" s="70" t="inlineStr">
        <is>
          <t>Assigned in class week of 2026-11-04; Connect window</t>
        </is>
      </c>
    </row>
    <row r="29">
      <c r="A29" s="42" t="inlineStr">
        <is>
          <t xml:space="preserve">  ↳ Connect: Self-Assessment 8.01 - Group</t>
        </is>
      </c>
      <c r="B29" s="70" t="inlineStr"/>
      <c r="C29" s="70" t="inlineStr">
        <is>
          <t>2026-08-24</t>
        </is>
      </c>
      <c r="D29" s="70" t="inlineStr">
        <is>
          <t>2026-12-20</t>
        </is>
      </c>
      <c r="E29" s="70" t="inlineStr"/>
      <c r="F29" s="70" t="inlineStr">
        <is>
          <t>Assigned in class week of 2026-10-19; Connect window</t>
        </is>
      </c>
    </row>
    <row r="30">
      <c r="A30" s="42" t="inlineStr">
        <is>
          <t xml:space="preserve">  ↳ Team project outline</t>
        </is>
      </c>
      <c r="B30" s="70" t="inlineStr"/>
      <c r="C30" s="70" t="inlineStr">
        <is>
          <t>2026-08-31</t>
        </is>
      </c>
      <c r="D30" s="70" t="inlineStr">
        <is>
          <t>2026-10-19</t>
        </is>
      </c>
      <c r="E30" s="70" t="inlineStr"/>
      <c r="F30" s="70" t="inlineStr">
        <is>
          <t>Course Schedule due date</t>
        </is>
      </c>
    </row>
    <row r="31">
      <c r="A31" s="42" t="inlineStr">
        <is>
          <t xml:space="preserve">  ↳ Team project paper</t>
        </is>
      </c>
      <c r="B31" s="70" t="inlineStr"/>
      <c r="C31" s="70" t="inlineStr">
        <is>
          <t>2026-08-31</t>
        </is>
      </c>
      <c r="D31" s="70" t="inlineStr">
        <is>
          <t>2026-11-09</t>
        </is>
      </c>
      <c r="E31" s="70" t="inlineStr"/>
      <c r="F31" s="70" t="inlineStr">
        <is>
          <t>Course Schedule due date</t>
        </is>
      </c>
    </row>
    <row r="32">
      <c r="A32" s="22" t="inlineStr">
        <is>
          <t>Final Reflection Paper</t>
        </is>
      </c>
      <c r="B32" s="68" t="inlineStr">
        <is>
          <t>10%</t>
        </is>
      </c>
      <c r="C32" s="68" t="inlineStr">
        <is>
          <t>2026-08-31</t>
        </is>
      </c>
      <c r="D32" s="68" t="inlineStr">
        <is>
          <t>2026-12-02</t>
        </is>
      </c>
      <c r="E32" s="68" t="inlineStr">
        <is>
          <t>No</t>
        </is>
      </c>
      <c r="F32" s="69">
        <f>HYPERLINK("https://raw.githubusercontent.com/vengeanceaiUSC/Syllabus-/cursor/add-syllabus-dissector-skill-a676/output/documents/buad-304-final-reflection-paper.pdf","Open PDF")</f>
        <v/>
      </c>
    </row>
    <row r="33">
      <c r="A33" s="42" t="inlineStr">
        <is>
          <t xml:space="preserve">  ↳ Connect: Self-Assessment 16.02 - What Is Your</t>
        </is>
      </c>
      <c r="B33" s="70" t="inlineStr"/>
      <c r="C33" s="70" t="inlineStr">
        <is>
          <t>2026-08-24</t>
        </is>
      </c>
      <c r="D33" s="70" t="inlineStr">
        <is>
          <t>2026-12-20</t>
        </is>
      </c>
      <c r="E33" s="70" t="inlineStr"/>
      <c r="F33" s="70" t="inlineStr">
        <is>
          <t>Assigned in class week of 2026-11-30; Connect window</t>
        </is>
      </c>
    </row>
    <row r="34">
      <c r="A34" s="42" t="inlineStr">
        <is>
          <t xml:space="preserve">  ↳ Connect: Self-Assessment 16.03 - Assessing Your</t>
        </is>
      </c>
      <c r="B34" s="70" t="inlineStr"/>
      <c r="C34" s="70" t="inlineStr">
        <is>
          <t>2026-08-24</t>
        </is>
      </c>
      <c r="D34" s="70" t="inlineStr">
        <is>
          <t>2026-12-20</t>
        </is>
      </c>
      <c r="E34" s="70" t="inlineStr"/>
      <c r="F34" s="70" t="inlineStr">
        <is>
          <t>Assigned in class week of 2026-11-30; Connect window</t>
        </is>
      </c>
    </row>
    <row r="35">
      <c r="A35" s="42" t="inlineStr">
        <is>
          <t xml:space="preserve">  ↳ Personal Reflection Paper</t>
        </is>
      </c>
      <c r="B35" s="70" t="inlineStr"/>
      <c r="C35" s="70" t="inlineStr">
        <is>
          <t>2026-08-31</t>
        </is>
      </c>
      <c r="D35" s="70" t="inlineStr">
        <is>
          <t>2026-12-02</t>
        </is>
      </c>
      <c r="E35" s="70" t="inlineStr"/>
      <c r="F35" s="70" t="inlineStr">
        <is>
          <t>Course Schedule due date</t>
        </is>
      </c>
    </row>
    <row r="36">
      <c r="A36" s="25" t="inlineStr">
        <is>
          <t>Presentation</t>
        </is>
      </c>
      <c r="B36" s="71" t="inlineStr">
        <is>
          <t>10%</t>
        </is>
      </c>
      <c r="C36" s="71" t="inlineStr">
        <is>
          <t>2026-08-31</t>
        </is>
      </c>
      <c r="D36" s="71" t="inlineStr">
        <is>
          <t>2026-11-09</t>
        </is>
      </c>
      <c r="E36" s="71" t="inlineStr">
        <is>
          <t>Yes</t>
        </is>
      </c>
      <c r="F36" s="72">
        <f>HYPERLINK("https://raw.githubusercontent.com/vengeanceaiUSC/Syllabus-/cursor/add-syllabus-dissector-skill-a676/output/documents/buad-304-presentation.pdf","Open PDF")</f>
        <v/>
      </c>
    </row>
    <row r="37">
      <c r="A37" s="42" t="inlineStr">
        <is>
          <t xml:space="preserve">  ↳ Presentation slides</t>
        </is>
      </c>
      <c r="B37" s="70" t="inlineStr"/>
      <c r="C37" s="70" t="inlineStr">
        <is>
          <t>2026-08-31</t>
        </is>
      </c>
      <c r="D37" s="70" t="inlineStr">
        <is>
          <t>2026-11-09</t>
        </is>
      </c>
      <c r="E37" s="70" t="inlineStr"/>
      <c r="F37" s="70" t="inlineStr">
        <is>
          <t>Course Schedule due date</t>
        </is>
      </c>
    </row>
    <row r="38">
      <c r="A38" s="22" t="inlineStr">
        <is>
          <t>Case Analysis Assignments</t>
        </is>
      </c>
      <c r="B38" s="68" t="inlineStr">
        <is>
          <t>5%</t>
        </is>
      </c>
      <c r="C38" s="68" t="inlineStr">
        <is>
          <t>2026-08-26</t>
        </is>
      </c>
      <c r="D38" s="68" t="inlineStr">
        <is>
          <t>2026-10-21</t>
        </is>
      </c>
      <c r="E38" s="68" t="inlineStr">
        <is>
          <t>No</t>
        </is>
      </c>
      <c r="F38" s="69">
        <f>HYPERLINK("https://raw.githubusercontent.com/vengeanceaiUSC/Syllabus-/cursor/add-syllabus-dissector-skill-a676/output/documents/buad-304-case-analysis-assignments.pdf","Open PDF")</f>
        <v/>
      </c>
    </row>
    <row r="39">
      <c r="A39" s="42" t="inlineStr">
        <is>
          <t xml:space="preserve">  ↳ Connect: Self-Assessment 12.01 - What kind of</t>
        </is>
      </c>
      <c r="B39" s="70" t="inlineStr"/>
      <c r="C39" s="70" t="inlineStr">
        <is>
          <t>2026-08-24</t>
        </is>
      </c>
      <c r="D39" s="70" t="inlineStr">
        <is>
          <t>2026-12-20</t>
        </is>
      </c>
      <c r="E39" s="70" t="inlineStr"/>
      <c r="F39" s="70" t="inlineStr">
        <is>
          <t>Assigned in class week of 2026-09-16; Connect window</t>
        </is>
      </c>
    </row>
    <row r="40">
      <c r="A40" s="42" t="inlineStr">
        <is>
          <t xml:space="preserve">  ↳ Thomas Green Case Analysis Memo</t>
        </is>
      </c>
      <c r="B40" s="70" t="inlineStr"/>
      <c r="C40" s="70" t="inlineStr">
        <is>
          <t>2026-08-26</t>
        </is>
      </c>
      <c r="D40" s="70" t="inlineStr">
        <is>
          <t>2026-09-16</t>
        </is>
      </c>
      <c r="E40" s="70" t="inlineStr"/>
      <c r="F40" s="70" t="inlineStr">
        <is>
          <t>Course Schedule due date</t>
        </is>
      </c>
    </row>
    <row r="41">
      <c r="A41" s="42" t="inlineStr">
        <is>
          <t xml:space="preserve">  ↳ SkillsForTomorrow Analysis Memo</t>
        </is>
      </c>
      <c r="B41" s="70" t="inlineStr"/>
      <c r="C41" s="70" t="inlineStr">
        <is>
          <t>2026-08-26</t>
        </is>
      </c>
      <c r="D41" s="70" t="inlineStr">
        <is>
          <t>2026-10-21</t>
        </is>
      </c>
      <c r="E41" s="70" t="inlineStr"/>
      <c r="F41" s="70" t="inlineStr">
        <is>
          <t>Course Schedule due date</t>
        </is>
      </c>
    </row>
    <row r="42">
      <c r="A42" s="25" t="inlineStr">
        <is>
          <t>Proposal &amp; Team Contract</t>
        </is>
      </c>
      <c r="B42" s="71" t="inlineStr">
        <is>
          <t>3%</t>
        </is>
      </c>
      <c r="C42" s="71" t="inlineStr">
        <is>
          <t>2026-08-31</t>
        </is>
      </c>
      <c r="D42" s="71" t="inlineStr">
        <is>
          <t>2026-09-28</t>
        </is>
      </c>
      <c r="E42" s="71" t="inlineStr">
        <is>
          <t>Yes</t>
        </is>
      </c>
      <c r="F42" s="72">
        <f>HYPERLINK("https://raw.githubusercontent.com/vengeanceaiUSC/Syllabus-/cursor/add-syllabus-dissector-skill-a676/output/documents/buad-304-proposal-team-contract.pdf","Open PDF")</f>
        <v/>
      </c>
    </row>
    <row r="43">
      <c r="A43" s="42" t="inlineStr">
        <is>
          <t xml:space="preserve">  ↳ Connect: Self-Assessment 10.5 - Preferred Conflict</t>
        </is>
      </c>
      <c r="B43" s="70" t="inlineStr"/>
      <c r="C43" s="70" t="inlineStr">
        <is>
          <t>2026-08-24</t>
        </is>
      </c>
      <c r="D43" s="70" t="inlineStr">
        <is>
          <t>2026-12-20</t>
        </is>
      </c>
      <c r="E43" s="70" t="inlineStr"/>
      <c r="F43" s="70" t="inlineStr">
        <is>
          <t>Assigned in class week of 2026-09-28; Connect window</t>
        </is>
      </c>
    </row>
    <row r="44">
      <c r="A44" s="42" t="inlineStr">
        <is>
          <t xml:space="preserve">  ↳ Connect: Self-Assessment 9.01 - Assessing My</t>
        </is>
      </c>
      <c r="B44" s="70" t="inlineStr"/>
      <c r="C44" s="70" t="inlineStr">
        <is>
          <t>2026-08-24</t>
        </is>
      </c>
      <c r="D44" s="70" t="inlineStr">
        <is>
          <t>2026-12-20</t>
        </is>
      </c>
      <c r="E44" s="70" t="inlineStr"/>
      <c r="F44" s="70" t="inlineStr">
        <is>
          <t>Assigned in class week of 2026-09-28; Connect window</t>
        </is>
      </c>
    </row>
    <row r="45">
      <c r="A45" s="42" t="inlineStr">
        <is>
          <t xml:space="preserve">  ↳ Team project proposal &amp; team contract</t>
        </is>
      </c>
      <c r="B45" s="70" t="inlineStr"/>
      <c r="C45" s="70" t="inlineStr">
        <is>
          <t>2026-08-31</t>
        </is>
      </c>
      <c r="D45" s="70" t="inlineStr">
        <is>
          <t>2026-09-28</t>
        </is>
      </c>
      <c r="E45" s="70" t="inlineStr"/>
      <c r="F45" s="70" t="inlineStr">
        <is>
          <t>Course Schedule due date</t>
        </is>
      </c>
    </row>
    <row r="46">
      <c r="A46" s="22" t="inlineStr">
        <is>
          <t>Self &amp; Peer Evaluation</t>
        </is>
      </c>
      <c r="B46" s="68" t="inlineStr">
        <is>
          <t>2%</t>
        </is>
      </c>
      <c r="C46" s="68" t="inlineStr">
        <is>
          <t>2026-08-31</t>
        </is>
      </c>
      <c r="D46" s="68" t="inlineStr">
        <is>
          <t>2026-11-18</t>
        </is>
      </c>
      <c r="E46" s="68" t="inlineStr">
        <is>
          <t>Yes</t>
        </is>
      </c>
      <c r="F46" s="69">
        <f>HYPERLINK("https://raw.githubusercontent.com/vengeanceaiUSC/Syllabus-/cursor/add-syllabus-dissector-skill-a676/output/documents/buad-304-self-peer-evaluation.pdf","Open PDF")</f>
        <v/>
      </c>
    </row>
    <row r="47">
      <c r="A47" s="42" t="inlineStr">
        <is>
          <t xml:space="preserve">  ↳ Self &amp; peer evaluation</t>
        </is>
      </c>
      <c r="B47" s="70" t="inlineStr"/>
      <c r="C47" s="70" t="inlineStr">
        <is>
          <t>2026-08-31</t>
        </is>
      </c>
      <c r="D47" s="70" t="inlineStr">
        <is>
          <t>2026-11-18</t>
        </is>
      </c>
      <c r="E47" s="70" t="inlineStr"/>
      <c r="F47" s="70" t="inlineStr">
        <is>
          <t>Course Schedule due date</t>
        </is>
      </c>
    </row>
    <row r="48">
      <c r="A48" s="3" t="inlineStr">
        <is>
          <t>Total</t>
        </is>
      </c>
      <c r="B48" s="3" t="inlineStr">
        <is>
          <t>100%</t>
        </is>
      </c>
    </row>
  </sheetData>
  <mergeCells count="3">
    <mergeCell ref="A2:F2"/>
    <mergeCell ref="A1:F1"/>
    <mergeCell ref="B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2026-08-20T23:25:37Z</dcterms:created>
  <dcterms:modified xmlns:dcterms="http://purl.org/dc/terms/" xmlns:xsi="http://www.w3.org/2001/XMLSchema-instance" xsi:type="dcterms:W3CDTF">2026-08-21T00:51:56Z</dcterms:modified>
</cp:coreProperties>
</file>