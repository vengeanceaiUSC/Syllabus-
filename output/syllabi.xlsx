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BUAD-28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FF7F0E"/>
      </patternFill>
    </fill>
    <fill>
      <patternFill patternType="solid">
        <fgColor rgb="00FFEBDA"/>
      </patternFill>
    </fill>
    <fill>
      <patternFill patternType="solid">
        <fgColor rgb="00FFF6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1" fillId="5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>
      <c r="A2" s="2" t="inlineStr">
        <is>
          <t>Instructor</t>
        </is>
      </c>
      <c r="B2" t="inlineStr">
        <is>
          <t>Dr. Lindsay O'Neill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93% (100-93)</t>
        </is>
      </c>
    </row>
    <row r="5">
      <c r="A5" s="2" t="inlineStr">
        <is>
          <t>Grading scale</t>
        </is>
      </c>
      <c r="B5" t="inlineStr">
        <is>
          <t>A: 100-93; A-: 92-90; B+: 89-87; B: 86-83; B-: 82-80; C+: 79-77; C: 76-73; C- 72-70 D+: 69-67; D: 66-63; D-: 62-60; F: 59-0</t>
        </is>
      </c>
    </row>
    <row r="7">
      <c r="A7" s="4" t="inlineStr">
        <is>
          <t>Category</t>
        </is>
      </c>
      <c r="B7" s="4" t="inlineStr">
        <is>
          <t>Weight</t>
        </is>
      </c>
      <c r="C7" s="4" t="inlineStr">
        <is>
          <t>Start Date</t>
        </is>
      </c>
      <c r="D7" s="4" t="inlineStr">
        <is>
          <t>Due Date</t>
        </is>
      </c>
      <c r="E7" s="4" t="inlineStr">
        <is>
          <t>Group Project</t>
        </is>
      </c>
      <c r="F7" s="4" t="inlineStr">
        <is>
          <t>Details</t>
        </is>
      </c>
    </row>
    <row r="8">
      <c r="A8" s="5" t="inlineStr">
        <is>
          <t>Sleep Paper</t>
        </is>
      </c>
      <c r="B8" s="35" t="inlineStr">
        <is>
          <t>20%</t>
        </is>
      </c>
      <c r="C8" s="35" t="inlineStr">
        <is>
          <t>2026-03-20</t>
        </is>
      </c>
      <c r="D8" s="35" t="inlineStr">
        <is>
          <t>2026-09-15</t>
        </is>
      </c>
      <c r="E8" s="35" t="inlineStr">
        <is>
          <t>No</t>
        </is>
      </c>
      <c r="F8" s="36">
        <f>HYPERLINK("https://raw.githubusercontent.com/vengeanceaiUSC/Syllabus-/cursor/add-syllabus-dissector-skill-a676/output/documents/hist-103-sleep-paper.pdf","Open PDF")</f>
        <v/>
      </c>
    </row>
    <row r="9">
      <c r="A9" s="8" t="inlineStr">
        <is>
          <t>Witchcraft Paper</t>
        </is>
      </c>
      <c r="B9" s="37" t="inlineStr">
        <is>
          <t>20%</t>
        </is>
      </c>
      <c r="C9" s="37" t="inlineStr">
        <is>
          <t>2026-08-25</t>
        </is>
      </c>
      <c r="D9" s="37" t="inlineStr">
        <is>
          <t>2026-11-10</t>
        </is>
      </c>
      <c r="E9" s="37" t="inlineStr">
        <is>
          <t>No</t>
        </is>
      </c>
      <c r="F9" s="38">
        <f>HYPERLINK("https://raw.githubusercontent.com/vengeanceaiUSC/Syllabus-/cursor/add-syllabus-dissector-skill-a676/output/documents/hist-103-witchcraft-paper.pdf","Open PDF")</f>
        <v/>
      </c>
    </row>
    <row r="10">
      <c r="A10" s="5" t="inlineStr">
        <is>
          <t>Mid-term</t>
        </is>
      </c>
      <c r="B10" s="35" t="inlineStr">
        <is>
          <t>20%</t>
        </is>
      </c>
      <c r="C10" s="35" t="inlineStr">
        <is>
          <t>2026-08-25</t>
        </is>
      </c>
      <c r="D10" s="35" t="inlineStr">
        <is>
          <t>2026-10-09</t>
        </is>
      </c>
      <c r="E10" s="35" t="inlineStr">
        <is>
          <t>No</t>
        </is>
      </c>
      <c r="F10" s="36">
        <f>HYPERLINK("https://raw.githubusercontent.com/vengeanceaiUSC/Syllabus-/cursor/add-syllabus-dissector-skill-a676/output/documents/hist-103-mid-term.pdf","Open PDF")</f>
        <v/>
      </c>
    </row>
    <row r="11">
      <c r="A11" s="8" t="inlineStr">
        <is>
          <t>Final Exam</t>
        </is>
      </c>
      <c r="B11" s="37" t="inlineStr">
        <is>
          <t>20%</t>
        </is>
      </c>
      <c r="C11" s="37" t="inlineStr">
        <is>
          <t>2026-08-25</t>
        </is>
      </c>
      <c r="D11" s="37" t="inlineStr">
        <is>
          <t>2026-12-10</t>
        </is>
      </c>
      <c r="E11" s="37" t="inlineStr">
        <is>
          <t>No</t>
        </is>
      </c>
      <c r="F11" s="38">
        <f>HYPERLINK("https://raw.githubusercontent.com/vengeanceaiUSC/Syllabus-/cursor/add-syllabus-dissector-skill-a676/output/documents/hist-103-final-exam.pdf","Open PDF")</f>
        <v/>
      </c>
    </row>
    <row r="12">
      <c r="A12" s="5" t="inlineStr">
        <is>
          <t>Discussion Section</t>
        </is>
      </c>
      <c r="B12" s="35" t="inlineStr">
        <is>
          <t>15%</t>
        </is>
      </c>
      <c r="C12" s="35" t="inlineStr">
        <is>
          <t>2026-11-10</t>
        </is>
      </c>
      <c r="D12" s="35" t="inlineStr">
        <is>
          <t>2026-11-12</t>
        </is>
      </c>
      <c r="E12" s="35" t="inlineStr">
        <is>
          <t>Yes</t>
        </is>
      </c>
      <c r="F12" s="36">
        <f>HYPERLINK("https://raw.githubusercontent.com/vengeanceaiUSC/Syllabus-/cursor/add-syllabus-dissector-skill-a676/output/documents/hist-103-discussion-section.pdf","Open PDF")</f>
        <v/>
      </c>
    </row>
    <row r="13">
      <c r="A13" s="8" t="inlineStr">
        <is>
          <t>Identification Quizzes</t>
        </is>
      </c>
      <c r="B13" s="37" t="inlineStr">
        <is>
          <t>5%</t>
        </is>
      </c>
      <c r="C13" s="37" t="inlineStr">
        <is>
          <t>2026-08-25</t>
        </is>
      </c>
      <c r="D13" s="37" t="inlineStr">
        <is>
          <t>2026-12-10</t>
        </is>
      </c>
      <c r="E13" s="37" t="inlineStr">
        <is>
          <t>No</t>
        </is>
      </c>
      <c r="F13" s="38">
        <f>HYPERLINK("https://raw.githubusercontent.com/vengeanceaiUSC/Syllabus-/cursor/add-syllabus-dissector-skill-a676/output/documents/hist-103-identification-quizzes.pdf","Open PDF")</f>
        <v/>
      </c>
    </row>
    <row r="14">
      <c r="A14" s="5" t="inlineStr">
        <is>
          <t>Extra Credit</t>
        </is>
      </c>
      <c r="B14" s="35" t="inlineStr">
        <is>
          <t>—</t>
        </is>
      </c>
      <c r="C14" s="35" t="inlineStr"/>
      <c r="D14" s="35" t="inlineStr">
        <is>
          <t>2026-12-04</t>
        </is>
      </c>
      <c r="E14" s="35" t="inlineStr">
        <is>
          <t>No</t>
        </is>
      </c>
      <c r="F14" s="36">
        <f>HYPERLINK("https://raw.githubusercontent.com/vengeanceaiUSC/Syllabus-/cursor/add-syllabus-dissector-skill-a676/output/documents/hist-103-extra-credit.pdf","Open PDF")</f>
        <v/>
      </c>
    </row>
    <row r="15">
      <c r="A15" s="2" t="inlineStr">
        <is>
          <t>Total</t>
        </is>
      </c>
      <c r="B15" s="2" t="inlineStr">
        <is>
          <t>100%</t>
        </is>
      </c>
    </row>
  </sheetData>
  <mergeCells count="2"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0E"/>
    <outlinePr summaryBelow="1" summaryRight="1"/>
    <pageSetUpPr/>
  </sheetPr>
  <dimension ref="A1:F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39" t="inlineStr">
        <is>
          <t>BUAD-281 — Managerial Accounting</t>
        </is>
      </c>
    </row>
    <row r="2">
      <c r="A2" s="2" t="inlineStr">
        <is>
          <t>Instructor</t>
        </is>
      </c>
      <c r="B2" t="inlineStr">
        <is>
          <t>Braunegg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N/A</t>
        </is>
      </c>
    </row>
    <row r="5">
      <c r="A5" s="2" t="inlineStr">
        <is>
          <t>Grading scale</t>
        </is>
      </c>
      <c r="B5" t="inlineStr">
        <is>
          <t>Total graded points in calendar: 1055 (letter scale not in document)</t>
        </is>
      </c>
    </row>
    <row r="7">
      <c r="A7" s="40" t="inlineStr">
        <is>
          <t>Category</t>
        </is>
      </c>
      <c r="B7" s="40" t="inlineStr">
        <is>
          <t>Weight</t>
        </is>
      </c>
      <c r="C7" s="40" t="inlineStr">
        <is>
          <t>Start Date</t>
        </is>
      </c>
      <c r="D7" s="40" t="inlineStr">
        <is>
          <t>Due Date</t>
        </is>
      </c>
      <c r="E7" s="40" t="inlineStr">
        <is>
          <t>Group Project</t>
        </is>
      </c>
      <c r="F7" s="40" t="inlineStr">
        <is>
          <t>Details</t>
        </is>
      </c>
    </row>
    <row r="8">
      <c r="A8" s="41" t="inlineStr">
        <is>
          <t>Midterm 1</t>
        </is>
      </c>
      <c r="B8" s="42" t="inlineStr">
        <is>
          <t>250 pts</t>
        </is>
      </c>
      <c r="C8" s="42" t="inlineStr"/>
      <c r="D8" s="42" t="inlineStr">
        <is>
          <t>2026-09-30</t>
        </is>
      </c>
      <c r="E8" s="42" t="inlineStr">
        <is>
          <t>No</t>
        </is>
      </c>
      <c r="F8" s="43">
        <f>HYPERLINK("https://raw.githubusercontent.com/vengeanceaiUSC/Syllabus-/cursor/add-syllabus-dissector-skill-a676/output/documents/buad-281-midterm-1.pdf","Open PDF")</f>
        <v/>
      </c>
    </row>
    <row r="9">
      <c r="A9" s="44" t="inlineStr">
        <is>
          <t>Midterm 2</t>
        </is>
      </c>
      <c r="B9" s="45" t="inlineStr">
        <is>
          <t>250 pts</t>
        </is>
      </c>
      <c r="C9" s="45" t="inlineStr"/>
      <c r="D9" s="45" t="inlineStr">
        <is>
          <t>2026-10-26</t>
        </is>
      </c>
      <c r="E9" s="45" t="inlineStr">
        <is>
          <t>No</t>
        </is>
      </c>
      <c r="F9" s="46">
        <f>HYPERLINK("https://raw.githubusercontent.com/vengeanceaiUSC/Syllabus-/cursor/add-syllabus-dissector-skill-a676/output/documents/buad-281-midterm-2.pdf","Open PDF")</f>
        <v/>
      </c>
    </row>
    <row r="10">
      <c r="A10" s="41" t="inlineStr">
        <is>
          <t>Final Exam</t>
        </is>
      </c>
      <c r="B10" s="42" t="inlineStr">
        <is>
          <t>250 pts</t>
        </is>
      </c>
      <c r="C10" s="42" t="inlineStr"/>
      <c r="D10" s="42" t="inlineStr">
        <is>
          <t>2026-12-16</t>
        </is>
      </c>
      <c r="E10" s="42" t="inlineStr">
        <is>
          <t>No</t>
        </is>
      </c>
      <c r="F10" s="43">
        <f>HYPERLINK("https://raw.githubusercontent.com/vengeanceaiUSC/Syllabus-/cursor/add-syllabus-dissector-skill-a676/output/documents/buad-281-final-exam.pdf","Open PDF")</f>
        <v/>
      </c>
    </row>
    <row r="11">
      <c r="A11" s="44" t="inlineStr">
        <is>
          <t>Homework</t>
        </is>
      </c>
      <c r="B11" s="45" t="inlineStr">
        <is>
          <t>155 pts</t>
        </is>
      </c>
      <c r="C11" s="45" t="inlineStr"/>
      <c r="D11" s="45" t="inlineStr"/>
      <c r="E11" s="45" t="inlineStr">
        <is>
          <t>No</t>
        </is>
      </c>
      <c r="F11" s="46">
        <f>HYPERLINK("https://raw.githubusercontent.com/vengeanceaiUSC/Syllabus-/cursor/add-syllabus-dissector-skill-a676/output/documents/buad-281-homework.pdf","Open PDF")</f>
        <v/>
      </c>
    </row>
    <row r="12">
      <c r="A12" s="41" t="inlineStr">
        <is>
          <t>LinkedIn Learning Excel Certification</t>
        </is>
      </c>
      <c r="B12" s="42" t="inlineStr">
        <is>
          <t>75 pts</t>
        </is>
      </c>
      <c r="C12" s="42" t="inlineStr"/>
      <c r="D12" s="42" t="inlineStr">
        <is>
          <t>2026-12-02</t>
        </is>
      </c>
      <c r="E12" s="42" t="inlineStr">
        <is>
          <t>No</t>
        </is>
      </c>
      <c r="F12" s="43">
        <f>HYPERLINK("https://raw.githubusercontent.com/vengeanceaiUSC/Syllabus-/cursor/add-syllabus-dissector-skill-a676/output/documents/buad-281-linkedin-learning-excel-certification.pdf","Open PDF")</f>
        <v/>
      </c>
    </row>
    <row r="13">
      <c r="A13" s="44" t="inlineStr">
        <is>
          <t>Stukent Simternship</t>
        </is>
      </c>
      <c r="B13" s="45" t="inlineStr">
        <is>
          <t>75 pts</t>
        </is>
      </c>
      <c r="C13" s="45" t="inlineStr"/>
      <c r="D13" s="45" t="inlineStr">
        <is>
          <t>2026-12-02</t>
        </is>
      </c>
      <c r="E13" s="45" t="inlineStr">
        <is>
          <t>No</t>
        </is>
      </c>
      <c r="F13" s="46">
        <f>HYPERLINK("https://raw.githubusercontent.com/vengeanceaiUSC/Syllabus-/cursor/add-syllabus-dissector-skill-a676/output/documents/buad-281-stukent-simternship.pdf","Open PDF")</f>
        <v/>
      </c>
    </row>
    <row r="14">
      <c r="A14" s="2" t="inlineStr">
        <is>
          <t>Total</t>
        </is>
      </c>
      <c r="B14" s="2" t="inlineStr">
        <is>
          <t>1055 pts</t>
        </is>
      </c>
    </row>
  </sheetData>
  <mergeCells count="2">
    <mergeCell ref="A1:F1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2026-08-21T00:09:38Z</dcterms:modified>
</cp:coreProperties>
</file>