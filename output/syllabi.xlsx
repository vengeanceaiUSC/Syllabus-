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UAD-304" sheetId="2" state="visible" r:id="rId2"/>
    <sheet xmlns:r="http://schemas.openxmlformats.org/officeDocument/2006/relationships" name="BUAD-281" sheetId="3" state="visible" r:id="rId3"/>
    <sheet xmlns:r="http://schemas.openxmlformats.org/officeDocument/2006/relationships" name="HIST-103" sheetId="4" state="visible" r:id="rId4"/>
    <sheet xmlns:r="http://schemas.openxmlformats.org/officeDocument/2006/relationships" name="ECON-351" sheetId="5" state="visible" r:id="rId5"/>
  </sheets>
  <definedNames/>
  <calcPr calcId="124519" fullCalcOnLoad="1"/>
</workbook>
</file>

<file path=xl/styles.xml><?xml version="1.0" encoding="utf-8"?>
<styleSheet xmlns="http://schemas.openxmlformats.org/spreadsheetml/2006/main">
  <numFmts count="0"/>
  <fonts count="33">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
      <b val="1"/>
      <color rgb="009467BD"/>
      <sz val="11"/>
    </font>
    <font>
      <b val="1"/>
      <color rgb="009467BD"/>
      <sz val="13"/>
    </font>
  </fonts>
  <fills count="37">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
      <patternFill patternType="solid">
        <fgColor rgb="009467BD"/>
      </patternFill>
    </fill>
    <fill>
      <patternFill patternType="solid">
        <fgColor rgb="00E7DDF0"/>
      </patternFill>
    </fill>
    <fill>
      <patternFill patternType="solid">
        <fgColor rgb="00EEE8F5"/>
      </patternFill>
    </fill>
    <fill>
      <patternFill patternType="solid">
        <fgColor rgb="00E1D4EC"/>
      </patternFill>
    </fill>
    <fill>
      <patternFill patternType="solid">
        <fgColor rgb="00FAF8FC"/>
      </patternFill>
    </fill>
    <fill>
      <patternFill patternType="solid">
        <fgColor rgb="00F7F4FA"/>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150">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4" fillId="13" borderId="1" applyAlignment="1" pivotButton="0" quotePrefix="0" xfId="0">
      <alignment vertical="top" wrapText="1"/>
    </xf>
    <xf numFmtId="0" fontId="1" fillId="31" borderId="0" applyAlignment="1" pivotButton="0" quotePrefix="0" xfId="0">
      <alignment horizontal="left" vertical="center"/>
    </xf>
    <xf numFmtId="0" fontId="31" fillId="32" borderId="0" applyAlignment="1" pivotButton="0" quotePrefix="0" xfId="0">
      <alignment horizontal="left" vertical="center" wrapText="1"/>
    </xf>
    <xf numFmtId="0" fontId="6" fillId="31" borderId="1" applyAlignment="1" pivotButton="0" quotePrefix="0" xfId="0">
      <alignment horizontal="center" vertical="center"/>
    </xf>
    <xf numFmtId="0" fontId="7" fillId="33" borderId="1" applyAlignment="1" pivotButton="0" quotePrefix="0" xfId="0">
      <alignment horizontal="left" vertical="center" wrapText="1"/>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9" fillId="33" borderId="1" applyAlignment="1" pivotButton="0" quotePrefix="0" xfId="0">
      <alignment horizontal="left" vertical="center" wrapText="1"/>
    </xf>
    <xf numFmtId="0" fontId="11" fillId="35" borderId="1" applyAlignment="1" pivotButton="0" quotePrefix="0" xfId="0">
      <alignment horizontal="left" vertical="center" wrapText="1"/>
    </xf>
    <xf numFmtId="0" fontId="0" fillId="35" borderId="1" applyAlignment="1" pivotButton="0" quotePrefix="0" xfId="0">
      <alignment horizontal="left" vertical="center"/>
    </xf>
    <xf numFmtId="0" fontId="0" fillId="35" borderId="1" applyAlignment="1" pivotButton="0" quotePrefix="0" xfId="0">
      <alignment horizontal="left" vertical="center" wrapText="1"/>
    </xf>
    <xf numFmtId="0" fontId="7" fillId="36" borderId="1" applyAlignment="1" pivotButton="0" quotePrefix="0" xfId="0">
      <alignment horizontal="left" vertical="center" wrapText="1"/>
    </xf>
    <xf numFmtId="0" fontId="0" fillId="36" borderId="1" applyAlignment="1" pivotButton="0" quotePrefix="0" xfId="0">
      <alignment horizontal="left" vertical="center"/>
    </xf>
    <xf numFmtId="0" fontId="9" fillId="36" borderId="1" applyAlignment="1" pivotButton="0" quotePrefix="0" xfId="0">
      <alignment horizontal="left" vertical="center" wrapText="1"/>
    </xf>
    <xf numFmtId="0" fontId="10" fillId="35" borderId="1" applyAlignment="1" pivotButton="0" quotePrefix="0" xfId="0">
      <alignment horizontal="left" vertical="center" wrapText="1"/>
    </xf>
    <xf numFmtId="0" fontId="12" fillId="35" borderId="1" applyAlignment="1" pivotButton="0" quotePrefix="0" xfId="0">
      <alignment horizontal="left" vertical="center" wrapText="1"/>
    </xf>
    <xf numFmtId="0" fontId="25" fillId="35" borderId="1" applyAlignment="1" pivotButton="0" quotePrefix="0" xfId="0">
      <alignment horizontal="left" vertical="center" wrapText="1"/>
    </xf>
    <xf numFmtId="0" fontId="32" fillId="0" borderId="0" pivotButton="0" quotePrefix="0" xfId="0"/>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62056" TargetMode="External" Id="rId1"/><Relationship Type="http://schemas.openxmlformats.org/officeDocument/2006/relationships/hyperlink" Target="https://www.ratemyprofessors.com/professor/1808480" TargetMode="External" Id="rId2"/><Relationship Type="http://schemas.openxmlformats.org/officeDocument/2006/relationships/hyperlink" Target="https://www.ratemyprofessors.com/professor/2880539" TargetMode="External" Id="rId3"/><Relationship Type="http://schemas.openxmlformats.org/officeDocument/2006/relationships/hyperlink" Target="https://www.ratemyprofessors.com/professor/1642149" TargetMode="External" Id="rId4"/></Relationships>
</file>

<file path=xl/worksheets/sheet1.xml><?xml version="1.0" encoding="utf-8"?>
<worksheet xmlns="http://schemas.openxmlformats.org/spreadsheetml/2006/main">
  <sheetPr>
    <tabColor rgb="00203764"/>
    <outlinePr summaryBelow="0" summaryRight="1"/>
    <pageSetUpPr/>
  </sheetPr>
  <dimension ref="A1:K126"/>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c r="A2" s="2" t="inlineStr">
        <is>
          <t>Term: Fall 2026</t>
        </is>
      </c>
    </row>
    <row r="3">
      <c r="A3" s="3" t="inlineStr">
        <is>
          <t>Today: 2026-08-21</t>
        </is>
      </c>
    </row>
    <row r="4">
      <c r="A4" s="13" t="inlineStr">
        <is>
          <t>Professor Ratings (Rate My Professors) - click +/- at left to expand/collapse</t>
        </is>
      </c>
    </row>
    <row r="5" hidden="1" outlineLevel="1">
      <c r="A5" s="6" t="inlineStr">
        <is>
          <t>Class</t>
        </is>
      </c>
      <c r="B5" s="6" t="inlineStr">
        <is>
          <t>Instructor</t>
        </is>
      </c>
      <c r="C5" s="6" t="inlineStr">
        <is>
          <t>Quality (/5)</t>
        </is>
      </c>
      <c r="D5" s="6" t="inlineStr">
        <is>
          <t>Difficulty (/5)</t>
        </is>
      </c>
      <c r="E5" s="6" t="inlineStr">
        <is>
          <t>Avg Reviewer Grade</t>
        </is>
      </c>
      <c r="F5" s="6" t="inlineStr">
        <is>
          <t>Would Take Again</t>
        </is>
      </c>
      <c r="G5" s="6" t="inlineStr">
        <is>
          <t># Ratings</t>
        </is>
      </c>
    </row>
    <row r="6" hidden="1" outlineLevel="1">
      <c r="A6" s="7">
        <f>HYPERLINK("#'BUAD-281'!A1","BUAD-281")</f>
        <v/>
      </c>
      <c r="B6" s="88" t="inlineStr">
        <is>
          <t>George Braunegg</t>
        </is>
      </c>
      <c r="C6" s="26" t="inlineStr">
        <is>
          <t>4.3</t>
        </is>
      </c>
      <c r="D6" s="8" t="inlineStr">
        <is>
          <t>3.3</t>
        </is>
      </c>
      <c r="E6" s="8" t="inlineStr">
        <is>
          <t>A- (3.69) [177/255 reported]</t>
        </is>
      </c>
      <c r="F6" s="8" t="inlineStr">
        <is>
          <t>80.9%</t>
        </is>
      </c>
      <c r="G6" s="8" t="inlineStr">
        <is>
          <t>255</t>
        </is>
      </c>
    </row>
    <row r="7" hidden="1" outlineLevel="1">
      <c r="A7" s="10">
        <f>HYPERLINK("#'BUAD-304'!A1","BUAD-304")</f>
        <v/>
      </c>
      <c r="B7" s="89" t="inlineStr">
        <is>
          <t>Christine El Haddad</t>
        </is>
      </c>
      <c r="C7" s="90" t="inlineStr">
        <is>
          <t>4.5</t>
        </is>
      </c>
      <c r="D7" s="11" t="inlineStr">
        <is>
          <t>2.7</t>
        </is>
      </c>
      <c r="E7" s="11" t="inlineStr">
        <is>
          <t>A- (3.71) [29/50 reported]</t>
        </is>
      </c>
      <c r="F7" s="11" t="inlineStr">
        <is>
          <t>78.9%</t>
        </is>
      </c>
      <c r="G7" s="11" t="inlineStr">
        <is>
          <t>50</t>
        </is>
      </c>
    </row>
    <row r="8" hidden="1" outlineLevel="1">
      <c r="A8" s="7">
        <f>HYPERLINK("#'ECON-351'!A1","ECON-351")</f>
        <v/>
      </c>
      <c r="B8" s="88" t="inlineStr">
        <is>
          <t>Alejandro Martínez-Marquina / João Ramos (RMP: Alejandro Martínez-Marquina)</t>
        </is>
      </c>
      <c r="C8" s="26" t="inlineStr">
        <is>
          <t>4.6</t>
        </is>
      </c>
      <c r="D8" s="8" t="inlineStr">
        <is>
          <t>3.1</t>
        </is>
      </c>
      <c r="E8" s="8" t="inlineStr">
        <is>
          <t>A- (3.76) [39/62 reported]</t>
        </is>
      </c>
      <c r="F8" s="8" t="inlineStr">
        <is>
          <t>85.2%</t>
        </is>
      </c>
      <c r="G8" s="8" t="inlineStr">
        <is>
          <t>62</t>
        </is>
      </c>
    </row>
    <row r="9" hidden="1" outlineLevel="1">
      <c r="A9" s="10">
        <f>HYPERLINK("#'HIST-103'!A1","HIST-103")</f>
        <v/>
      </c>
      <c r="B9" s="89" t="inlineStr">
        <is>
          <t>Lindsay O'Neill</t>
        </is>
      </c>
      <c r="C9" s="90" t="inlineStr">
        <is>
          <t>4.3</t>
        </is>
      </c>
      <c r="D9" s="11" t="inlineStr">
        <is>
          <t>2.5</t>
        </is>
      </c>
      <c r="E9" s="11" t="inlineStr">
        <is>
          <t>A- (3.77) [27/54 reported]</t>
        </is>
      </c>
      <c r="F9" s="11" t="inlineStr">
        <is>
          <t>79.3%</t>
        </is>
      </c>
      <c r="G9" s="11" t="inlineStr">
        <is>
          <t>54</t>
        </is>
      </c>
    </row>
    <row r="10" hidden="1" outlineLevel="1"/>
    <row r="11" hidden="1" outlineLevel="1">
      <c r="A11" s="13" t="inlineStr">
        <is>
          <t>Consensus - recurring student review themes</t>
        </is>
      </c>
    </row>
    <row r="12" hidden="1" outlineLevel="1" ht="135" customHeight="1">
      <c r="A12" s="104" t="inlineStr">
        <is>
          <t>BUAD-281</t>
        </is>
      </c>
      <c r="B12" s="105" t="inlineStr">
        <is>
          <t>George Braunegg</t>
        </is>
      </c>
      <c r="C12" s="8"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13" hidden="1" outlineLevel="1" ht="135" customHeight="1">
      <c r="A13" s="106" t="inlineStr">
        <is>
          <t>BUAD-304</t>
        </is>
      </c>
      <c r="B13" s="107" t="inlineStr">
        <is>
          <t>Christine El Haddad</t>
        </is>
      </c>
      <c r="C13" s="11"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14" hidden="1" outlineLevel="1" ht="165" customHeight="1">
      <c r="A14" s="104" t="inlineStr">
        <is>
          <t>ECON-351</t>
        </is>
      </c>
      <c r="B14" s="105" t="inlineStr">
        <is>
          <t>Alejandro Martínez-Marquina / João Ramos (RMP: Alejandro Martínez-Marquina)</t>
        </is>
      </c>
      <c r="C14" s="8" t="inlineStr">
        <is>
          <t>STRENGTHS: Reviewers repeatedly praise board work, step-by-step problem breakdowns, and practice sets that mirror exams. Many call him kind, funny, and responsive by email; office hours and TAs get strong mentions. Several note you can succeed without mandatory attendance if you self-study from the textbook.
COMMON CAVEATS: Spanish accent and fast lecture pace come up often — sit near the front. Some say lectures/textbook do not fully prepare you unless you drill mock exams and homework. Content volume is high; procrastination hurts.
EXAMS &amp; GRADING: Midterms align with practice problems and mock exams; homework is described as easy/lenient (best-of policy). Grades span A to C- depending on effort. AI/group project mentioned as straightforward when you keep up.
BOTTOM LINE: Do the practice sets, use TAs/office hours, and do not fall behind — accent and pace are manageable with front-row seating and self-study.</t>
        </is>
      </c>
    </row>
    <row r="15" hidden="1" outlineLevel="1" ht="135" customHeight="1">
      <c r="A15" s="106" t="inlineStr">
        <is>
          <t>HIST-103</t>
        </is>
      </c>
      <c r="B15" s="107" t="inlineStr">
        <is>
          <t>Lindsay O'Neill</t>
        </is>
      </c>
      <c r="C15" s="11"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16" hidden="1" outlineLevel="1"/>
    <row r="17" hidden="1" outlineLevel="1">
      <c r="A17" s="13" t="inlineStr">
        <is>
          <t>Student reviews (Rate My Professors) - newest first</t>
        </is>
      </c>
    </row>
    <row r="18" hidden="1" outlineLevel="1">
      <c r="A18" s="6" t="inlineStr">
        <is>
          <t>Class</t>
        </is>
      </c>
      <c r="B18" s="6" t="inlineStr">
        <is>
          <t>Date</t>
        </is>
      </c>
      <c r="C18" s="6" t="inlineStr">
        <is>
          <t>Grade</t>
        </is>
      </c>
      <c r="D18" s="6" t="inlineStr">
        <is>
          <t>Q/D</t>
        </is>
      </c>
      <c r="E18" s="6" t="inlineStr">
        <is>
          <t>Review</t>
        </is>
      </c>
    </row>
    <row r="19" hidden="1" outlineLevel="1" ht="30" customHeight="1">
      <c r="A19" s="104" t="inlineStr">
        <is>
          <t>ECON-351</t>
        </is>
      </c>
      <c r="B19" s="105" t="inlineStr">
        <is>
          <t>2026-02-25</t>
        </is>
      </c>
      <c r="C19" s="105" t="inlineStr">
        <is>
          <t>A</t>
        </is>
      </c>
      <c r="D19" s="105" t="inlineStr">
        <is>
          <t>5/1</t>
        </is>
      </c>
      <c r="E19" s="8" t="inlineStr">
        <is>
          <t>The tests are easy if you just do the practice sets. He's great at explanations. [Amazing lectures, So many papers, Graded by few things]</t>
        </is>
      </c>
    </row>
    <row r="20" hidden="1" outlineLevel="1" ht="75" customHeight="1">
      <c r="A20" s="107" t="inlineStr"/>
      <c r="B20" s="107" t="inlineStr">
        <is>
          <t>2026-01-27</t>
        </is>
      </c>
      <c r="C20" s="107" t="inlineStr">
        <is>
          <t>C-</t>
        </is>
      </c>
      <c r="D20" s="107" t="inlineStr">
        <is>
          <t>5/4</t>
        </is>
      </c>
      <c r="E20" s="11" t="inlineStr">
        <is>
          <t>personally the class is hard, because there is a lot of content. do not procrastinate it will be your downfall. midterms are the same as mock exams and homework, so just practice that. group project at end is straightforward, homework is easy. ultimately your grade depends on your own effort so try!! [Get ready to read, Lecture heavy, Test heavy]</t>
        </is>
      </c>
    </row>
    <row r="21" hidden="1" outlineLevel="1" ht="60" customHeight="1">
      <c r="A21" s="105" t="inlineStr"/>
      <c r="B21" s="105" t="inlineStr">
        <is>
          <t>2026-01-07</t>
        </is>
      </c>
      <c r="C21" s="105" t="inlineStr">
        <is>
          <t>A</t>
        </is>
      </c>
      <c r="D21" s="105" t="inlineStr">
        <is>
          <t>4/3</t>
        </is>
      </c>
      <c r="E21" s="8" t="inlineStr">
        <is>
          <t>Alejandro is very nice and sometimes his accent is hard to understand in lecture but overall you understand what he is saying. The tests are exactly like the practice problems and he's very funny. Do the practice and you will do well in class! [Respected, Test heavy]</t>
        </is>
      </c>
    </row>
    <row r="22" hidden="1" outlineLevel="1" ht="75" customHeight="1">
      <c r="A22" s="107" t="inlineStr"/>
      <c r="B22" s="107" t="inlineStr">
        <is>
          <t>2026-01-06</t>
        </is>
      </c>
      <c r="C22" s="107" t="inlineStr">
        <is>
          <t>C-</t>
        </is>
      </c>
      <c r="D22" s="107" t="inlineStr">
        <is>
          <t>3/4</t>
        </is>
      </c>
      <c r="E22" s="11" t="inlineStr">
        <is>
          <t>His lectures are enjoyable and structures the class to be very flexible with no required attendance and lenient homework policies. He does however have a spanish accent which makes understading lecture difficult sometimes. Additonally, I felt the lectures and textbook do not adequately prepare you for exams. [Amazing lectures, Respected, Graded by few things]</t>
        </is>
      </c>
    </row>
    <row r="23" hidden="1" outlineLevel="1" ht="90" customHeight="1">
      <c r="A23" s="105" t="inlineStr"/>
      <c r="B23" s="105" t="inlineStr">
        <is>
          <t>2025-12-30</t>
        </is>
      </c>
      <c r="C23" s="105" t="inlineStr">
        <is>
          <t>A</t>
        </is>
      </c>
      <c r="D23" s="105" t="inlineStr">
        <is>
          <t>4/4</t>
        </is>
      </c>
      <c r="E23" s="8" t="inlineStr">
        <is>
          <t>Really great professor, he writes on the board with practice questions, so concepts are easier to follow. He has an excellent TA who goes through all the questions, is super understanding and helpful, and she explains concepts really well. He has an accent, but it did not hinder my ability to learn. Definitely self-study as well, with the textbook! [Lecture heavy, Test heavy, Graded by few things]</t>
        </is>
      </c>
    </row>
    <row r="24" hidden="1" outlineLevel="1" ht="75" customHeight="1">
      <c r="A24" s="107" t="inlineStr"/>
      <c r="B24" s="107" t="inlineStr">
        <is>
          <t>2025-12-24</t>
        </is>
      </c>
      <c r="C24" s="107" t="inlineStr">
        <is>
          <t>A</t>
        </is>
      </c>
      <c r="D24" s="107" t="inlineStr">
        <is>
          <t>5/3</t>
        </is>
      </c>
      <c r="E24" s="11" t="inlineStr">
        <is>
          <t>Amazing professor. Has an accent but you get used to it. Can go through material pretty quickly, but he writes on board and explains while demonstrating, which helps a lot. He also goes back to explain if students are still confused. Exams are relatively the same as practice problems he gives. [Lecture heavy, Test heavy, Graded by few things]</t>
        </is>
      </c>
    </row>
    <row r="25" hidden="1" outlineLevel="1" ht="60" customHeight="1">
      <c r="A25" s="105" t="inlineStr"/>
      <c r="B25" s="105" t="inlineStr">
        <is>
          <t>2025-12-16</t>
        </is>
      </c>
      <c r="C25" s="105" t="inlineStr">
        <is>
          <t>A</t>
        </is>
      </c>
      <c r="D25" s="105" t="inlineStr">
        <is>
          <t>5/3</t>
        </is>
      </c>
      <c r="E25" s="8" t="inlineStr">
        <is>
          <t>GREAT PROFESSOR. He breaks down the steps of each problem amazingly, accent is a little thick (sit in the front it helps a lot), His office hours are worth it, he will make sure you understand!! Work hard from the beginning and do ALL practice problems (repeats in test). [Hilarious, Respected, Test heavy]</t>
        </is>
      </c>
    </row>
    <row r="26" hidden="1" outlineLevel="1" ht="75" customHeight="1">
      <c r="A26" s="107" t="inlineStr"/>
      <c r="B26" s="107" t="inlineStr">
        <is>
          <t>2025-12-11</t>
        </is>
      </c>
      <c r="C26" s="107" t="inlineStr">
        <is>
          <t>Not sure yet</t>
        </is>
      </c>
      <c r="D26" s="107" t="inlineStr">
        <is>
          <t>5/3</t>
        </is>
      </c>
      <c r="E26" s="11" t="inlineStr">
        <is>
          <t>Its a hard class and his lectures go by quick. With that being said he is really good at teaching and also really accessible outside of class. Answers emails extremely quickly and grades test within a few days of the test date. Exams are hard, but if you study and go to an office hour before the test your fine. [Amazing lectures, Test heavy, Accessible outside class]</t>
        </is>
      </c>
    </row>
    <row r="27" hidden="1" outlineLevel="1" ht="75" customHeight="1">
      <c r="A27" s="105" t="inlineStr"/>
      <c r="B27" s="105" t="inlineStr">
        <is>
          <t>2025-12-05</t>
        </is>
      </c>
      <c r="C27" s="105" t="inlineStr">
        <is>
          <t>Drop/Withdrawal</t>
        </is>
      </c>
      <c r="D27" s="105" t="inlineStr">
        <is>
          <t>1/5</t>
        </is>
      </c>
      <c r="E27" s="8" t="inlineStr">
        <is>
          <t>Professor flies through the lectures and his accent makes it difficult to understand and keep up. The course is already known for being a tough course. When questions are asked he sort of laughs and makes you feel bad before explaining. He has really good TAs though that help you step by step. I would definitely go to office hours.</t>
        </is>
      </c>
    </row>
    <row r="28" hidden="1" outlineLevel="1" ht="60" customHeight="1">
      <c r="A28" s="107" t="inlineStr"/>
      <c r="B28" s="107" t="inlineStr">
        <is>
          <t>2025-12-04</t>
        </is>
      </c>
      <c r="C28" s="107" t="inlineStr">
        <is>
          <t>Not sure yet</t>
        </is>
      </c>
      <c r="D28" s="107" t="inlineStr">
        <is>
          <t>1/5</t>
        </is>
      </c>
      <c r="E28" s="11" t="inlineStr">
        <is>
          <t>- Genuinely moves at the speed of light - Is accessible outside of class, but truly have to grind for an A - Exams are super hard, homeworks are free - Professor is a bit condescending but means well [Lecture heavy, Test heavy, Graded by few things]</t>
        </is>
      </c>
    </row>
    <row r="29" hidden="1" outlineLevel="1" ht="45" customHeight="1">
      <c r="A29" s="105" t="inlineStr"/>
      <c r="B29" s="105" t="inlineStr">
        <is>
          <t>2025-11-17</t>
        </is>
      </c>
      <c r="C29" s="105" t="inlineStr">
        <is>
          <t>Not sure yet</t>
        </is>
      </c>
      <c r="D29" s="105" t="inlineStr">
        <is>
          <t>3/4</t>
        </is>
      </c>
      <c r="E29" s="8" t="inlineStr">
        <is>
          <t>His accent and super fast pace of the class/lecture make it so hard to understand. The class is already hard and the speed of the lectures make this so hard [Lecture heavy, Graded by few things]</t>
        </is>
      </c>
    </row>
    <row r="30" hidden="1" outlineLevel="1" ht="75" customHeight="1">
      <c r="A30" s="107" t="inlineStr"/>
      <c r="B30" s="107" t="inlineStr">
        <is>
          <t>2025-10-16</t>
        </is>
      </c>
      <c r="C30" s="107" t="inlineStr">
        <is>
          <t>Not sure yet</t>
        </is>
      </c>
      <c r="D30" s="107" t="inlineStr">
        <is>
          <t>5/3</t>
        </is>
      </c>
      <c r="E30" s="11" t="inlineStr">
        <is>
          <t>He does talk fast but if you don't understand or need to hear concept again he will gladly explain it to you until you get it. Very nice wants you to get an A but Econ isn't an easy class. Office hours are great way to prepare for test. Study guides very similar to exams. [Amazing lectures, Clear grading criteria, Accessible outside class]</t>
        </is>
      </c>
    </row>
    <row r="31" hidden="1" outlineLevel="1" ht="30" customHeight="1">
      <c r="A31" s="105" t="inlineStr"/>
      <c r="B31" s="105" t="inlineStr">
        <is>
          <t>2025-10-15</t>
        </is>
      </c>
      <c r="C31" s="105" t="inlineStr">
        <is>
          <t>-</t>
        </is>
      </c>
      <c r="D31" s="105" t="inlineStr">
        <is>
          <t>5/2</t>
        </is>
      </c>
      <c r="E31" s="8" t="inlineStr">
        <is>
          <t>Fantastic Professor. Easy looking at. Funny guy. Muy bien</t>
        </is>
      </c>
    </row>
    <row r="32" hidden="1" outlineLevel="1" ht="45" customHeight="1">
      <c r="A32" s="107" t="inlineStr"/>
      <c r="B32" s="107" t="inlineStr">
        <is>
          <t>2025-10-06</t>
        </is>
      </c>
      <c r="C32" s="107" t="inlineStr">
        <is>
          <t>Not sure yet</t>
        </is>
      </c>
      <c r="D32" s="107" t="inlineStr">
        <is>
          <t>4/2</t>
        </is>
      </c>
      <c r="E32" s="11" t="inlineStr">
        <is>
          <t>Talks too fast and is hard to understand because of his accent. He mostly reads off the slides. But fun classes and passionate lecturer who encourages questions. He also uses real life examples which is useful.</t>
        </is>
      </c>
    </row>
    <row r="33" hidden="1" outlineLevel="1" ht="60" customHeight="1">
      <c r="A33" s="105" t="inlineStr"/>
      <c r="B33" s="105" t="inlineStr">
        <is>
          <t>2025-10-06</t>
        </is>
      </c>
      <c r="C33" s="105" t="inlineStr">
        <is>
          <t>Not sure yet</t>
        </is>
      </c>
      <c r="D33" s="105" t="inlineStr">
        <is>
          <t>1/4</t>
        </is>
      </c>
      <c r="E33" s="8" t="inlineStr">
        <is>
          <t>Bro talks so fast, literally I was better off teaching it to myself outside of class. EXTREMELY condescending. I would go to his office hours and he would laugh at certain students questions and belittle them. Idk how his rating is so high, I'd drop if it weren't already to late in the semester. [Test heavy]</t>
        </is>
      </c>
    </row>
    <row r="34" hidden="1" outlineLevel="1" ht="45" customHeight="1">
      <c r="A34" s="107" t="inlineStr"/>
      <c r="B34" s="107" t="inlineStr">
        <is>
          <t>2025-10-06</t>
        </is>
      </c>
      <c r="C34" s="107" t="inlineStr">
        <is>
          <t>Not sure yet</t>
        </is>
      </c>
      <c r="D34" s="107" t="inlineStr">
        <is>
          <t>5/4</t>
        </is>
      </c>
      <c r="E34" s="11" t="inlineStr">
        <is>
          <t>no glaze, he's a really good professor and explained concepts very well. Would take him again every single time if I could choose. [Amazing lectures, Inspirational, Caring]</t>
        </is>
      </c>
    </row>
    <row r="35" hidden="1" outlineLevel="1" ht="45" customHeight="1">
      <c r="A35" s="105" t="inlineStr"/>
      <c r="B35" s="105" t="inlineStr">
        <is>
          <t>2025-06-25</t>
        </is>
      </c>
      <c r="C35" s="105" t="inlineStr">
        <is>
          <t>A</t>
        </is>
      </c>
      <c r="D35" s="105" t="inlineStr">
        <is>
          <t>5/2</t>
        </is>
      </c>
      <c r="E35" s="8" t="inlineStr">
        <is>
          <t>Best professor I've had at USC. Took his econ351 class in fall 2024 and learned so much. Class is on Marshall curve so its competitive to get an A, but it wasn't that hard. [Inspirational, Lecture heavy, Graded by few things]</t>
        </is>
      </c>
    </row>
    <row r="36" hidden="1" outlineLevel="1" ht="75" customHeight="1">
      <c r="A36" s="107" t="inlineStr"/>
      <c r="B36" s="107" t="inlineStr">
        <is>
          <t>2025-05-30</t>
        </is>
      </c>
      <c r="C36" s="107" t="inlineStr">
        <is>
          <t>A</t>
        </is>
      </c>
      <c r="D36" s="107" t="inlineStr">
        <is>
          <t>5/2</t>
        </is>
      </c>
      <c r="E36" s="11" t="inlineStr">
        <is>
          <t>ECON 351 is a hard class no matter what, but if you have to take it def take Professor Martinez. Funny guy, doesn't mind explaining over and over again and has great lecture slides. Great TAs and curve. Tests are hard but they are no matter who you take. Hosts lots of reviews and genuinely cares and wants to hear our perspectives. Miss him!</t>
        </is>
      </c>
    </row>
    <row r="37" hidden="1" outlineLevel="1" ht="60" customHeight="1">
      <c r="A37" s="105" t="inlineStr"/>
      <c r="B37" s="105" t="inlineStr">
        <is>
          <t>2025-05-17</t>
        </is>
      </c>
      <c r="C37" s="105" t="inlineStr">
        <is>
          <t>A</t>
        </is>
      </c>
      <c r="D37" s="105" t="inlineStr">
        <is>
          <t>5/2</t>
        </is>
      </c>
      <c r="E37" s="8" t="inlineStr">
        <is>
          <t>This was my favorite professor of all time. In fact, the best professor I have ever had in my academic career. I highly recommend him. He makes lectures so fun. The class is hard, but if you understand calculus then you will ace the course. Highly recommend. [Amazing lectures, Inspirational, Caring]</t>
        </is>
      </c>
    </row>
    <row r="38" hidden="1" outlineLevel="1" ht="75" customHeight="1">
      <c r="A38" s="107" t="inlineStr"/>
      <c r="B38" s="107" t="inlineStr">
        <is>
          <t>2025-05-01</t>
        </is>
      </c>
      <c r="C38" s="107" t="inlineStr">
        <is>
          <t>B-</t>
        </is>
      </c>
      <c r="D38" s="107" t="inlineStr">
        <is>
          <t>2/5</t>
        </is>
      </c>
      <c r="E38" s="11" t="inlineStr">
        <is>
          <t>I am not sure why his reviews are so high... I was barely able to get a B- in this class after studying over 10 hours for each test. The practice tests were only somewhat similar and the homework took a lot of time. I would not recommend this teacher unless you want to go to office hours every week and try to get him to like you. [Lecture heavy, Test heavy, Graded by few things]</t>
        </is>
      </c>
    </row>
    <row r="39" hidden="1" outlineLevel="1" ht="30" customHeight="1">
      <c r="A39" s="105" t="inlineStr"/>
      <c r="B39" s="105" t="inlineStr">
        <is>
          <t>2025-01-29</t>
        </is>
      </c>
      <c r="C39" s="105" t="inlineStr">
        <is>
          <t>Not sure yet</t>
        </is>
      </c>
      <c r="D39" s="105" t="inlineStr">
        <is>
          <t>5/5</t>
        </is>
      </c>
      <c r="E39" s="8" t="inlineStr">
        <is>
          <t>He's so easy to look at&amp;#8230; take him [Tough grader, EXTRA CREDIT, Amazing lectures]</t>
        </is>
      </c>
    </row>
    <row r="40" hidden="1" outlineLevel="1" ht="75" customHeight="1">
      <c r="A40" s="107" t="inlineStr"/>
      <c r="B40" s="107" t="inlineStr">
        <is>
          <t>2025-01-18</t>
        </is>
      </c>
      <c r="C40" s="107" t="inlineStr">
        <is>
          <t>A</t>
        </is>
      </c>
      <c r="D40" s="107" t="inlineStr">
        <is>
          <t>5/2</t>
        </is>
      </c>
      <c r="E40" s="11" t="inlineStr">
        <is>
          <t>He is amazing. Went into 351 being really scared but honestly this class was way easier than I thought it would be. As long as you do all the practice problems and homework, there's no reason why you shouldn't get an A as tests are 95% similar to what you've seen before. For those complaining, they were just lazy and didn't do the work. [Amazing lectures, Hilarious, Graded by few things]</t>
        </is>
      </c>
    </row>
    <row r="41" hidden="1" outlineLevel="1" ht="60" customHeight="1">
      <c r="A41" s="105" t="inlineStr"/>
      <c r="B41" s="105" t="inlineStr">
        <is>
          <t>2025-01-10</t>
        </is>
      </c>
      <c r="C41" s="105" t="inlineStr">
        <is>
          <t>B</t>
        </is>
      </c>
      <c r="D41" s="105" t="inlineStr">
        <is>
          <t>2/4</t>
        </is>
      </c>
      <c r="E41" s="8" t="inlineStr">
        <is>
          <t>office hours with the TA saved me as his were completely full all the time. lectures were organized but he went so fast with explanations and skipped many steps making it confusing. only graded on 3 tests no curve and they are very difficult and only 24 points so very hard to get a good grade [Graded by few things]</t>
        </is>
      </c>
    </row>
    <row r="42" hidden="1" outlineLevel="1" ht="60" customHeight="1">
      <c r="A42" s="107" t="inlineStr"/>
      <c r="B42" s="107" t="inlineStr">
        <is>
          <t>2025-01-02</t>
        </is>
      </c>
      <c r="C42" s="107" t="inlineStr">
        <is>
          <t>Not sure yet</t>
        </is>
      </c>
      <c r="D42" s="107" t="inlineStr">
        <is>
          <t>3/5</t>
        </is>
      </c>
      <c r="E42" s="11" t="inlineStr">
        <is>
          <t>His lectures were very confusing, and he taught so quickly. If you go to HIS office hours, he'll give you all the answers to homework and practice tests, which was nice, but his tests were very hard. He does not curve at all, so expect your grade to be heavily based on how you perform on the tests.</t>
        </is>
      </c>
    </row>
    <row r="43" hidden="1" outlineLevel="1" ht="75" customHeight="1">
      <c r="A43" s="105" t="inlineStr"/>
      <c r="B43" s="105" t="inlineStr">
        <is>
          <t>2024-12-28</t>
        </is>
      </c>
      <c r="C43" s="105" t="inlineStr">
        <is>
          <t>A</t>
        </is>
      </c>
      <c r="D43" s="105" t="inlineStr">
        <is>
          <t>5/3</t>
        </is>
      </c>
      <c r="E43" s="8" t="inlineStr">
        <is>
          <t>BEST PROF FOR ECON351. Tests are exactly what's on hw &amp; practice sets. Lots of office hours. He let us go to any of his lectures (no attendance taken) + recordings posted online. He's great at explaining and his class makes econ fun/interesting. No complaints at all, very fair/interesting/funny guy. He wants you to get an A! TAKE HIM, TRUST. [Hilarious, Respected, Lecture heavy]</t>
        </is>
      </c>
    </row>
    <row r="44" hidden="1" outlineLevel="1" ht="30" customHeight="1">
      <c r="A44" s="107" t="inlineStr"/>
      <c r="B44" s="107" t="inlineStr">
        <is>
          <t>2024-12-21</t>
        </is>
      </c>
      <c r="C44" s="107" t="inlineStr">
        <is>
          <t>A</t>
        </is>
      </c>
      <c r="D44" s="107" t="inlineStr">
        <is>
          <t>5/3</t>
        </is>
      </c>
      <c r="E44" s="11" t="inlineStr">
        <is>
          <t>Awesome professor. Lectures are interesting and exams are very similar to practice tests. [Amazing lectures, Clear grading criteria, Graded by few things]</t>
        </is>
      </c>
    </row>
    <row r="45" hidden="1" outlineLevel="1" ht="75" customHeight="1">
      <c r="A45" s="105" t="inlineStr"/>
      <c r="B45" s="105" t="inlineStr">
        <is>
          <t>2024-12-21</t>
        </is>
      </c>
      <c r="C45" s="105" t="inlineStr">
        <is>
          <t>B+</t>
        </is>
      </c>
      <c r="D45" s="105" t="inlineStr">
        <is>
          <t>4/5</t>
        </is>
      </c>
      <c r="E45" s="8" t="inlineStr">
        <is>
          <t>Good professor, but I would not take him again. he puts "trick questions" on exams so no one ends up getting them right. He switches up the questions on exams and they are way harder. I never put so much work into a class and I only got a B+ and thats with a 10 point curve so in reality my grade should be lower. [Tough grader, Amazing lectures, Test heavy]</t>
        </is>
      </c>
    </row>
    <row r="46" hidden="1" outlineLevel="1" ht="75" customHeight="1">
      <c r="A46" s="107" t="inlineStr"/>
      <c r="B46" s="107" t="inlineStr">
        <is>
          <t>2024-12-20</t>
        </is>
      </c>
      <c r="C46" s="107" t="inlineStr">
        <is>
          <t>A</t>
        </is>
      </c>
      <c r="D46" s="107" t="inlineStr">
        <is>
          <t>5/3</t>
        </is>
      </c>
      <c r="E46" s="11" t="inlineStr">
        <is>
          <t>goat. 351 is hard but he makes it interesting and manageable. 3 exams each worth 30% and the other 10% is homework. go to lecture, do the practice problems and if you're still struggling read the textbook or go to office hours. take his class to get an A in econ and to laugh because he's hilarious. [Amazing lectures, Graded by few things]</t>
        </is>
      </c>
    </row>
    <row r="47" hidden="1" outlineLevel="1" ht="45" customHeight="1">
      <c r="A47" s="105" t="inlineStr"/>
      <c r="B47" s="105" t="inlineStr">
        <is>
          <t>2024-12-20</t>
        </is>
      </c>
      <c r="C47" s="105" t="inlineStr">
        <is>
          <t>A</t>
        </is>
      </c>
      <c r="D47" s="105" t="inlineStr">
        <is>
          <t>5/3</t>
        </is>
      </c>
      <c r="E47" s="8" t="inlineStr">
        <is>
          <t>Amazing professor! He includes real-world applications, which helps with understanding. And, I thought the class aligned with what he shared on the first day. Overall could not recommend more! [Amazing lectures, Caring]</t>
        </is>
      </c>
    </row>
    <row r="48" hidden="1" outlineLevel="1" ht="60" customHeight="1">
      <c r="A48" s="107" t="inlineStr"/>
      <c r="B48" s="107" t="inlineStr">
        <is>
          <t>2024-12-19</t>
        </is>
      </c>
      <c r="C48" s="107" t="inlineStr">
        <is>
          <t>A</t>
        </is>
      </c>
      <c r="D48" s="107" t="inlineStr">
        <is>
          <t>5/2</t>
        </is>
      </c>
      <c r="E48" s="11" t="inlineStr">
        <is>
          <t>Goat. Simple as that. Gives plenty of practice tests/problems that are identical in concept and form to the actual tests. Just be aware that the bar for an A-range grade may change throughout the semester (i.e. A-range = &gt;80 to A-range = &gt;85). [Caring, Test heavy, Accessible outside class]</t>
        </is>
      </c>
    </row>
    <row r="49" hidden="1" outlineLevel="1" ht="75" customHeight="1">
      <c r="A49" s="105" t="inlineStr"/>
      <c r="B49" s="105" t="inlineStr">
        <is>
          <t>2024-12-05</t>
        </is>
      </c>
      <c r="C49" s="105" t="inlineStr">
        <is>
          <t>A</t>
        </is>
      </c>
      <c r="D49" s="105" t="inlineStr">
        <is>
          <t>5/3</t>
        </is>
      </c>
      <c r="E49" s="8" t="inlineStr">
        <is>
          <t>Best teacher for microeconomics. Explains concepts well and is very clear about what will be on exams. Practice exams and chapter questions are identical to what will be on the tests. He's also super caring and will take the time to help you out and answer questions. By far my favorite professor this semester! [Caring]</t>
        </is>
      </c>
    </row>
    <row r="50" hidden="1" outlineLevel="1" ht="75" customHeight="1">
      <c r="A50" s="107" t="inlineStr"/>
      <c r="B50" s="107" t="inlineStr">
        <is>
          <t>2024-12-05</t>
        </is>
      </c>
      <c r="C50" s="107" t="inlineStr">
        <is>
          <t>-</t>
        </is>
      </c>
      <c r="D50" s="107" t="inlineStr">
        <is>
          <t>5/2</t>
        </is>
      </c>
      <c r="E50" s="11" t="inlineStr">
        <is>
          <t>Professor Alejandro is one of my favorite and best professors in Marshall! He is so engaging and incorporated lots of humor into his lectures (which attendance was not mandatory for). It's also evident that he wants his students to do well and holds many office hours for studnets. Would totally take him again. THE GOAT &amp;#128016; [Amazing lectures, Lecture heavy, Accessible outside class]</t>
        </is>
      </c>
    </row>
    <row r="51" hidden="1" outlineLevel="1" ht="60" customHeight="1">
      <c r="A51" s="105" t="inlineStr"/>
      <c r="B51" s="105" t="inlineStr">
        <is>
          <t>2024-12-04</t>
        </is>
      </c>
      <c r="C51" s="105" t="inlineStr">
        <is>
          <t>Not sure yet</t>
        </is>
      </c>
      <c r="D51" s="105" t="inlineStr">
        <is>
          <t>5/1</t>
        </is>
      </c>
      <c r="E51" s="8" t="inlineStr">
        <is>
          <t>Professor Alejandro is awesome. His lecture is inspirational and well-explained. I love the vibe of his class, and the tests are always easy as long as you finish the sample problems. [Amazing lectures, Inspirational, Accessible outside class]</t>
        </is>
      </c>
    </row>
    <row r="52" hidden="1" outlineLevel="1" ht="75" customHeight="1">
      <c r="A52" s="107" t="inlineStr"/>
      <c r="B52" s="107" t="inlineStr">
        <is>
          <t>2024-12-03</t>
        </is>
      </c>
      <c r="C52" s="107" t="inlineStr">
        <is>
          <t>Not sure yet</t>
        </is>
      </c>
      <c r="D52" s="107" t="inlineStr">
        <is>
          <t>5/3</t>
        </is>
      </c>
      <c r="E52" s="11" t="inlineStr">
        <is>
          <t>If you attend classes and office hours, you will understand all concepts. The class isn't too bad especially if you did IB Econ. Just do the homework and practice tests, and you're good. His papers are also not too bad so if you practice well you will do well. [Clear grading criteria, Lots of homework, Accessible outside class]</t>
        </is>
      </c>
    </row>
    <row r="53" hidden="1" outlineLevel="1" ht="75" customHeight="1">
      <c r="A53" s="105" t="inlineStr"/>
      <c r="B53" s="105" t="inlineStr">
        <is>
          <t>2024-11-13</t>
        </is>
      </c>
      <c r="C53" s="105" t="inlineStr">
        <is>
          <t>A</t>
        </is>
      </c>
      <c r="D53" s="105" t="inlineStr">
        <is>
          <t>5/3</t>
        </is>
      </c>
      <c r="E53" s="8" t="inlineStr">
        <is>
          <t>Best 351 prof he's so nice!!! Midterms are exactly like practice tests given. Homework is completion as long as you get half right and he gives you answers in office hours. Don't need to go to class-- he posts lectures and doesn't take attendance. Do the practice problems twice before the 3 tests and you can get an A. 80 or above overall is an A. [Accessible outside class]</t>
        </is>
      </c>
    </row>
    <row r="54" hidden="1" outlineLevel="1" ht="45" customHeight="1">
      <c r="A54" s="107" t="inlineStr"/>
      <c r="B54" s="107" t="inlineStr">
        <is>
          <t>2024-11-13</t>
        </is>
      </c>
      <c r="C54" s="107" t="inlineStr">
        <is>
          <t>Not sure yet</t>
        </is>
      </c>
      <c r="D54" s="107" t="inlineStr">
        <is>
          <t>5/2</t>
        </is>
      </c>
      <c r="E54" s="11" t="inlineStr">
        <is>
          <t>&amp;#128016;&amp;#128016;&amp;#128016;&amp;#128016;&amp;#128016;&amp;#128016;&amp;#128016;&amp;#128016;&amp;#128016;&amp;#128016;&amp;#128016;&amp;#128016;&amp;#128016;&amp;#128016;&amp;#128016;&amp;#128016;&amp;#128016;&amp;#128016;&amp;#128016;&amp;#128016;</t>
        </is>
      </c>
    </row>
    <row r="55" hidden="1" outlineLevel="1" ht="90" customHeight="1">
      <c r="A55" s="105" t="inlineStr"/>
      <c r="B55" s="105" t="inlineStr">
        <is>
          <t>2024-11-11</t>
        </is>
      </c>
      <c r="C55" s="105" t="inlineStr">
        <is>
          <t>-</t>
        </is>
      </c>
      <c r="D55" s="105" t="inlineStr">
        <is>
          <t>5/3</t>
        </is>
      </c>
      <c r="E55" s="8" t="inlineStr">
        <is>
          <t>It's definitely a difficult class and you have to study A LOT for tests, but he holds office hours every day for the entire semester and gives a bunch of practice problems prior to midterms. The homework isn't too bad, but the difficulty of the class is dependent on whether or not you go to lectures. He overall made a difficult class digestible. [Amazing lectures, Lecture heavy, Accessible outside class]</t>
        </is>
      </c>
    </row>
    <row r="56" hidden="1" outlineLevel="1" ht="30" customHeight="1">
      <c r="A56" s="107" t="inlineStr"/>
      <c r="B56" s="107" t="inlineStr">
        <is>
          <t>2024-10-22</t>
        </is>
      </c>
      <c r="C56" s="107" t="inlineStr">
        <is>
          <t>A</t>
        </is>
      </c>
      <c r="D56" s="107" t="inlineStr">
        <is>
          <t>5/3</t>
        </is>
      </c>
      <c r="E56" s="11" t="inlineStr">
        <is>
          <t>Exam questions are very similar to the practice sets he provides. Wants you to do well. [Caring, Test heavy, Graded by few things]</t>
        </is>
      </c>
    </row>
    <row r="57" hidden="1" outlineLevel="1" ht="75" customHeight="1">
      <c r="A57" s="105" t="inlineStr"/>
      <c r="B57" s="105" t="inlineStr">
        <is>
          <t>2024-08-01</t>
        </is>
      </c>
      <c r="C57" s="105" t="inlineStr">
        <is>
          <t>A-</t>
        </is>
      </c>
      <c r="D57" s="105" t="inlineStr">
        <is>
          <t>5/2</t>
        </is>
      </c>
      <c r="E57" s="8" t="inlineStr">
        <is>
          <t>Such a great professor his class is so manageable. I barely went to lecture and never went to office hours and did perfectly fine. Homework is graded very easily and basically every single possible midterm question is provided to you between all the practice sets. Do all the questions and you'll be fine. By far the best choice for 351.</t>
        </is>
      </c>
    </row>
    <row r="58" hidden="1" outlineLevel="1" ht="60" customHeight="1">
      <c r="A58" s="107" t="inlineStr"/>
      <c r="B58" s="107" t="inlineStr">
        <is>
          <t>2024-06-22</t>
        </is>
      </c>
      <c r="C58" s="107" t="inlineStr">
        <is>
          <t>A</t>
        </is>
      </c>
      <c r="D58" s="107" t="inlineStr">
        <is>
          <t>5/3</t>
        </is>
      </c>
      <c r="E58" s="11" t="inlineStr">
        <is>
          <t>Great course if you show up to every lecture and pay attention. Taking notes, reviewing practice problems, and going to office hours when I needed help with certain problems made the class not overly difficult. Great lecturer and cares about his students. Would take him again if I could. [Respected, Lecture heavy]</t>
        </is>
      </c>
    </row>
    <row r="59" hidden="1" outlineLevel="1" ht="45" customHeight="1">
      <c r="A59" s="105" t="inlineStr"/>
      <c r="B59" s="105" t="inlineStr">
        <is>
          <t>2024-06-19</t>
        </is>
      </c>
      <c r="C59" s="105" t="inlineStr">
        <is>
          <t>A-</t>
        </is>
      </c>
      <c r="D59" s="105" t="inlineStr">
        <is>
          <t>5/3</t>
        </is>
      </c>
      <c r="E59" s="8" t="inlineStr">
        <is>
          <t>I never went to his office hours and skipped around 70% of classes and still got a decent grade. He is a good lecturer and grades aren't hard to get. PLEASE do practice questions because exam questions are 80% based on them.</t>
        </is>
      </c>
    </row>
    <row r="60" hidden="1" outlineLevel="1" ht="75" customHeight="1">
      <c r="A60" s="107" t="inlineStr"/>
      <c r="B60" s="107" t="inlineStr">
        <is>
          <t>2024-05-28</t>
        </is>
      </c>
      <c r="C60" s="107" t="inlineStr">
        <is>
          <t>A</t>
        </is>
      </c>
      <c r="D60" s="107" t="inlineStr">
        <is>
          <t>5/2</t>
        </is>
      </c>
      <c r="E60" s="11" t="inlineStr">
        <is>
          <t>Marquina made ECON351 a breeze. His lectures are straightforward, engaging, and explain the material well. Your grade is determined by 3 tests spaced out throughout the semester. They're non-cumulative which is nice. Do the homework and the exam practice sets and you'll get a top grade. [Amazing lectures, Clear grading criteria, Graded by few things]</t>
        </is>
      </c>
    </row>
    <row r="61" hidden="1" outlineLevel="1" ht="75" customHeight="1">
      <c r="A61" s="105" t="inlineStr"/>
      <c r="B61" s="105" t="inlineStr">
        <is>
          <t>2024-05-19</t>
        </is>
      </c>
      <c r="C61" s="105" t="inlineStr">
        <is>
          <t>A</t>
        </is>
      </c>
      <c r="D61" s="105" t="inlineStr">
        <is>
          <t>5/1</t>
        </is>
      </c>
      <c r="E61" s="8" t="inlineStr">
        <is>
          <t>Makes microeconomics easy and provides fun examples for students to engage with. Do the homework and the practice midterms/final he provides to study and you will get an A in this class. Provides really, really helpful office hours for questions on homework and allows test revision. GOATED Marshall professor. [Lots of homework, Test heavy]</t>
        </is>
      </c>
    </row>
    <row r="62" hidden="1" outlineLevel="1" ht="75" customHeight="1">
      <c r="A62" s="107" t="inlineStr"/>
      <c r="B62" s="107" t="inlineStr">
        <is>
          <t>2024-05-10</t>
        </is>
      </c>
      <c r="C62" s="107" t="inlineStr">
        <is>
          <t>A</t>
        </is>
      </c>
      <c r="D62" s="107" t="inlineStr">
        <is>
          <t>5/3</t>
        </is>
      </c>
      <c r="E62" s="11" t="inlineStr">
        <is>
          <t>Great professor, but a fast lecturer. Overall would highly recommend him for Econ 351. The course is graded on only 3 written exams and weekly homework assignments, and as long as you do the practice questions he posts before each exam, they should be quite easy. [Inspirational, Graded by few things, Accessible outside class]</t>
        </is>
      </c>
    </row>
    <row r="63" hidden="1" outlineLevel="1" ht="90" customHeight="1">
      <c r="A63" s="105" t="inlineStr"/>
      <c r="B63" s="105" t="inlineStr">
        <is>
          <t>2024-05-02</t>
        </is>
      </c>
      <c r="C63" s="105" t="inlineStr">
        <is>
          <t>A+</t>
        </is>
      </c>
      <c r="D63" s="105" t="inlineStr">
        <is>
          <t>5/2</t>
        </is>
      </c>
      <c r="E63" s="8" t="inlineStr">
        <is>
          <t>Despite being a new prof, Alejandro is a really engaging and fun lecturer. He's accessible and will help you perform your best in class as long as you put in the work. I love him and would take his classes again. Looking forward to taking his class in my upperclassmen years. Go to office hours before a midterm/final and I guarantee you'll ace them. [Gives good feedback, Caring, Accessible outside class]</t>
        </is>
      </c>
    </row>
    <row r="64" hidden="1" outlineLevel="1" ht="30" customHeight="1">
      <c r="A64" s="107" t="inlineStr"/>
      <c r="B64" s="107" t="inlineStr">
        <is>
          <t>2024-05-02</t>
        </is>
      </c>
      <c r="C64" s="107" t="inlineStr">
        <is>
          <t>A+</t>
        </is>
      </c>
      <c r="D64" s="107" t="inlineStr">
        <is>
          <t>5/3</t>
        </is>
      </c>
      <c r="E64" s="11" t="inlineStr">
        <is>
          <t>351 is a hard class and he's easily the best teacher for it. [Caring, Test heavy, Accessible outside class]</t>
        </is>
      </c>
    </row>
    <row r="65" hidden="1" outlineLevel="1" ht="75" customHeight="1">
      <c r="A65" s="105" t="inlineStr"/>
      <c r="B65" s="105" t="inlineStr">
        <is>
          <t>2024-05-02</t>
        </is>
      </c>
      <c r="C65" s="105" t="inlineStr">
        <is>
          <t>A</t>
        </is>
      </c>
      <c r="D65" s="105" t="inlineStr">
        <is>
          <t>5/3</t>
        </is>
      </c>
      <c r="E65" s="8" t="inlineStr">
        <is>
          <t>Professor Martinez-Marquina was hands-down awesome! He's so caring and easy to talk to if you had concerns about your grade or the course content. Lectures are fast-paced for sure, but his office hours are SO worth it! Overall such an amazing professor! He's super accommodating and wants you to succeed in and out of class. [Amazing lectures, Respected, Accessible outside class]</t>
        </is>
      </c>
    </row>
    <row r="66" hidden="1" outlineLevel="1" ht="45" customHeight="1">
      <c r="A66" s="107" t="inlineStr"/>
      <c r="B66" s="107" t="inlineStr">
        <is>
          <t>2024-04-25</t>
        </is>
      </c>
      <c r="C66" s="107" t="inlineStr">
        <is>
          <t>Not sure yet</t>
        </is>
      </c>
      <c r="D66" s="107" t="inlineStr">
        <is>
          <t>5/3</t>
        </is>
      </c>
      <c r="E66" s="11" t="inlineStr">
        <is>
          <t>Tests are very similar to practice problems, and lectures are easy to follow. If you show up to class it is very manageable! [Amazing lectures, Clear grading criteria, Gives good feedback]</t>
        </is>
      </c>
    </row>
    <row r="67" hidden="1" outlineLevel="1" ht="75" customHeight="1">
      <c r="A67" s="105" t="inlineStr"/>
      <c r="B67" s="105" t="inlineStr">
        <is>
          <t>2024-04-16</t>
        </is>
      </c>
      <c r="C67" s="105" t="inlineStr">
        <is>
          <t>Not sure yet</t>
        </is>
      </c>
      <c r="D67" s="105" t="inlineStr">
        <is>
          <t>5/3</t>
        </is>
      </c>
      <c r="E67" s="8" t="inlineStr">
        <is>
          <t>Econ 351 is probably one of the hardest classes in Marshall. However, Marquina makes the content very much digestable. He's a very caring professor and wants you to understand the topic, and the lengths that he goes to to do so is very respectable. Genuine guy, very fun to talk to and honestly an amazing professor. [Inspirational, Caring, Respected]</t>
        </is>
      </c>
    </row>
    <row r="68" hidden="1" outlineLevel="1" ht="60" customHeight="1">
      <c r="A68" s="107" t="inlineStr"/>
      <c r="B68" s="107" t="inlineStr">
        <is>
          <t>2024-04-15</t>
        </is>
      </c>
      <c r="C68" s="107" t="inlineStr">
        <is>
          <t>A</t>
        </is>
      </c>
      <c r="D68" s="107" t="inlineStr">
        <is>
          <t>5/2</t>
        </is>
      </c>
      <c r="E68" s="11" t="inlineStr">
        <is>
          <t>Literally my favorite professor I've taken so far. I would take ANY class he teaches! He was super accessible and reasonable. He genuinely cared for you to grasp the material, and would often stay late after class or office hours if you needed his help. [Amazing lectures, Respected, Accessible outside class]</t>
        </is>
      </c>
    </row>
    <row r="69" hidden="1" outlineLevel="1" ht="75" customHeight="1">
      <c r="A69" s="105" t="inlineStr"/>
      <c r="B69" s="105" t="inlineStr">
        <is>
          <t>2024-04-02</t>
        </is>
      </c>
      <c r="C69" s="105" t="inlineStr">
        <is>
          <t>A</t>
        </is>
      </c>
      <c r="D69" s="105" t="inlineStr">
        <is>
          <t>5/4</t>
        </is>
      </c>
      <c r="E69" s="8" t="inlineStr">
        <is>
          <t>Yes, lectures are fast paced &amp; the material is difficult. However, Alejandro makes everything manageable. Coming in with no econ experience, I was still able to succeed. To succeed: go to class, read the textbook (its free &amp; really helpful), go to office hours, &amp; do the practice problems (all 3 tests resemble practice problems VERY closely). [Amazing lectures, Gives good feedback, Test heavy]</t>
        </is>
      </c>
    </row>
    <row r="70" hidden="1" outlineLevel="1" ht="30" customHeight="1">
      <c r="A70" s="107" t="inlineStr"/>
      <c r="B70" s="107" t="inlineStr">
        <is>
          <t>2023-10-25</t>
        </is>
      </c>
      <c r="C70" s="107" t="inlineStr">
        <is>
          <t>A</t>
        </is>
      </c>
      <c r="D70" s="107" t="inlineStr">
        <is>
          <t>5/1</t>
        </is>
      </c>
      <c r="E70" s="11" t="inlineStr">
        <is>
          <t>great professor with clear lectures, easy homework and tests [Amazing lectures, Caring, Respected]</t>
        </is>
      </c>
    </row>
    <row r="71" hidden="1" outlineLevel="1" ht="75" customHeight="1">
      <c r="A71" s="105" t="inlineStr"/>
      <c r="B71" s="105" t="inlineStr">
        <is>
          <t>2023-06-21</t>
        </is>
      </c>
      <c r="C71" s="105" t="inlineStr">
        <is>
          <t>A</t>
        </is>
      </c>
      <c r="D71" s="105" t="inlineStr">
        <is>
          <t>5/3</t>
        </is>
      </c>
      <c r="E71" s="8" t="inlineStr">
        <is>
          <t>Take this class +1 !! Prof. Martinez explains the lectures thoroughly, provides real-world examples, and his pace is perfect. He is determined to help students succeed by going above and beyond to provide office hours (especially before exams) and exam review/revision afterward. Test-heavy, but the content is relevant to lectures and homework. [Amazing lectures, Caring, Accessible outside class]</t>
        </is>
      </c>
    </row>
    <row r="72" hidden="1" outlineLevel="1" ht="75" customHeight="1">
      <c r="A72" s="107" t="inlineStr"/>
      <c r="B72" s="107" t="inlineStr">
        <is>
          <t>2023-05-26</t>
        </is>
      </c>
      <c r="C72" s="107" t="inlineStr">
        <is>
          <t>B</t>
        </is>
      </c>
      <c r="D72" s="107" t="inlineStr">
        <is>
          <t>5/5</t>
        </is>
      </c>
      <c r="E72" s="11" t="inlineStr">
        <is>
          <t>Amazing professor who truly wants his students to learn and succeed. Grading: 90% from 3 exams, 10% from HW. Thought this course was a very quantitative, fast-paced, and difficult class to get adjusted to. I struggling at first as I failed (D+) both midterm 1 and midterm 2 (post-curve). Got an A on the final exam (post-curve). Ended with a B. [Clear grading criteria, Caring, Graded by few things]</t>
        </is>
      </c>
    </row>
    <row r="73" hidden="1" outlineLevel="1" ht="60" customHeight="1">
      <c r="A73" s="105" t="inlineStr"/>
      <c r="B73" s="105" t="inlineStr">
        <is>
          <t>2023-05-09</t>
        </is>
      </c>
      <c r="C73" s="105" t="inlineStr">
        <is>
          <t>Not sure yet</t>
        </is>
      </c>
      <c r="D73" s="105" t="inlineStr">
        <is>
          <t>5/3</t>
        </is>
      </c>
      <c r="E73" s="8" t="inlineStr">
        <is>
          <t>He's a really caring and understanding professor. Although Econ 351 itself can be tough, he makes the lectures engaging and tries his best to help us understand. Doing the homework and practice chapter samples are really helpful for the tests! [Clear grading criteria, Gives good feedback, Caring]</t>
        </is>
      </c>
    </row>
    <row r="74" hidden="1" outlineLevel="1" ht="90" customHeight="1">
      <c r="A74" s="107" t="inlineStr"/>
      <c r="B74" s="107" t="inlineStr">
        <is>
          <t>2023-05-06</t>
        </is>
      </c>
      <c r="C74" s="107" t="inlineStr">
        <is>
          <t>-</t>
        </is>
      </c>
      <c r="D74" s="107" t="inlineStr">
        <is>
          <t>5/4</t>
        </is>
      </c>
      <c r="E74" s="11" t="inlineStr">
        <is>
          <t>Professor Marquina is a very kind and sweet guy. You can tell he genuinely cares for his students, he consistently gave extra office hours and met with me 1-on-1 after my poor 2nd midterm performance, encouraged and strategized with me on how I could improve. 2 midterms &amp; 1 final, very challenging course content. Get ready to put in the work [Caring, Graded by few things, Accessible outside class]</t>
        </is>
      </c>
    </row>
    <row r="75" hidden="1" outlineLevel="1" ht="75" customHeight="1">
      <c r="A75" s="105" t="inlineStr"/>
      <c r="B75" s="105" t="inlineStr">
        <is>
          <t>2023-04-26</t>
        </is>
      </c>
      <c r="C75" s="105" t="inlineStr">
        <is>
          <t>A</t>
        </is>
      </c>
      <c r="D75" s="105" t="inlineStr">
        <is>
          <t>5/2</t>
        </is>
      </c>
      <c r="E75" s="8" t="inlineStr">
        <is>
          <t>Take this class!!!!!!! He is such a nice guy and is always willing to meet with students, whether that means just re explaining something after class, holding office hours, or scheduling 1 on 1 time to meet with you and talk through questions or go over tests. If you pay any attention in the lectures you won't have any trouble.</t>
        </is>
      </c>
    </row>
    <row r="76" hidden="1" outlineLevel="1" ht="75" customHeight="1">
      <c r="A76" s="107" t="inlineStr"/>
      <c r="B76" s="107" t="inlineStr">
        <is>
          <t>2023-04-26</t>
        </is>
      </c>
      <c r="C76" s="107" t="inlineStr">
        <is>
          <t>A</t>
        </is>
      </c>
      <c r="D76" s="107" t="inlineStr">
        <is>
          <t>5/3</t>
        </is>
      </c>
      <c r="E76" s="11" t="inlineStr">
        <is>
          <t>Prof. Martinez is a fairly new professor, but he's one of the best I've had. Although the course is decently tough, if you took AP Econ in Highschool, you'll be fine. Otherwise, he provides very good lectures and is very accessible if you have questions. The hw is harder than the tests, and the practice problems are identical/very similar to tests.</t>
        </is>
      </c>
    </row>
    <row r="77" hidden="1" outlineLevel="1" ht="75" customHeight="1">
      <c r="A77" s="105" t="inlineStr"/>
      <c r="B77" s="105" t="inlineStr">
        <is>
          <t>2023-04-06</t>
        </is>
      </c>
      <c r="C77" s="105" t="inlineStr">
        <is>
          <t>-</t>
        </is>
      </c>
      <c r="D77" s="105" t="inlineStr">
        <is>
          <t>5/3</t>
        </is>
      </c>
      <c r="E77" s="8" t="inlineStr">
        <is>
          <t>Despite the difficulty of Micro, Professor Martinez-Marquina's lectures are engaging, practical, and interactive. He emphasizes building intuition to see the world from a different perspective and is readily available for support outside of class. Professor Martinez-Marquina's passion and expertise in the subject matter further enrich his lectures. [Amazing lectures, Inspirational, Respected]</t>
        </is>
      </c>
    </row>
    <row r="78" hidden="1" outlineLevel="1" ht="60" customHeight="1">
      <c r="A78" s="107" t="inlineStr"/>
      <c r="B78" s="107" t="inlineStr">
        <is>
          <t>2023-04-06</t>
        </is>
      </c>
      <c r="C78" s="107" t="inlineStr">
        <is>
          <t>A</t>
        </is>
      </c>
      <c r="D78" s="107" t="inlineStr">
        <is>
          <t>5/4</t>
        </is>
      </c>
      <c r="E78" s="11" t="inlineStr">
        <is>
          <t>Thought he was going to be hard since he was new, but ended up being one of the most chill professors I've had. Makes homework harder than the exams, but uses examples similar to slides. Keeps lectures entertaining. [Amazing lectures, Caring]</t>
        </is>
      </c>
    </row>
    <row r="79" hidden="1" outlineLevel="1" ht="75" customHeight="1">
      <c r="A79" s="105" t="inlineStr"/>
      <c r="B79" s="105" t="inlineStr">
        <is>
          <t>2023-04-05</t>
        </is>
      </c>
      <c r="C79" s="105" t="inlineStr">
        <is>
          <t>Incomplete</t>
        </is>
      </c>
      <c r="D79" s="105" t="inlineStr">
        <is>
          <t>5/5</t>
        </is>
      </c>
      <c r="E79" s="8" t="inlineStr">
        <is>
          <t>The hardest class at usc, but he makes it worth it. Great professor overall - willing to work with students to help with exams and understanding the material. His lectures go by very fast, and his accent can be hard to understand at first. Go to office hours, read the textbook, pay attention and go to every single class...and maybe you'll pass. [Caring, Test heavy, Accessible outside class]</t>
        </is>
      </c>
    </row>
    <row r="80" hidden="1" outlineLevel="1"/>
    <row r="81" hidden="1" outlineLevel="1">
      <c r="A81" s="91" t="inlineStr">
        <is>
          <t>RMP data as of 2026-08-21. Source: ratemyprofessors.com. Avg reviewer grade = mean of self-reported letter grades (4.0 scale); not all reviewers report a grade.</t>
        </is>
      </c>
    </row>
    <row r="83" ht="28" customHeight="1">
      <c r="A83" s="4" t="inlineStr">
        <is>
          <t>Connect prep (e.g. BUAD-304 Personal Assessments) is ungraded class prep - not part of Participation or other graded categories.</t>
        </is>
      </c>
    </row>
    <row r="84" ht="32" customHeight="1">
      <c r="A84" s="5" t="inlineStr">
        <is>
          <t>Start here (graded): 2026-09-04 - ECON-351 - Homework: Homework 1 (Chapter 4) — Brightspace, due 11:59 pm</t>
        </is>
      </c>
    </row>
    <row r="86">
      <c r="A86" s="6" t="inlineStr">
        <is>
          <t>Class</t>
        </is>
      </c>
      <c r="B86" s="6" t="inlineStr">
        <is>
          <t>Reading</t>
        </is>
      </c>
      <c r="C86" s="6" t="inlineStr">
        <is>
          <t>Homework</t>
        </is>
      </c>
      <c r="D86" s="6" t="inlineStr">
        <is>
          <t>Papers</t>
        </is>
      </c>
      <c r="E86" s="6" t="inlineStr">
        <is>
          <t>Group Project</t>
        </is>
      </c>
      <c r="F86" s="6" t="inlineStr">
        <is>
          <t>External certs</t>
        </is>
      </c>
      <c r="G86" s="6" t="inlineStr">
        <is>
          <t>Connect prep</t>
        </is>
      </c>
      <c r="H86" s="6" t="inlineStr">
        <is>
          <t>First assignment</t>
        </is>
      </c>
      <c r="I86" s="6" t="inlineStr">
        <is>
          <t>Assign due</t>
        </is>
      </c>
      <c r="J86" s="6" t="inlineStr">
        <is>
          <t>First major</t>
        </is>
      </c>
      <c r="K86" s="6" t="inlineStr">
        <is>
          <t>Major due</t>
        </is>
      </c>
    </row>
    <row r="87">
      <c r="A87" s="7">
        <f>HYPERLINK("#'BUAD-281'!A1","BUAD-281")</f>
        <v/>
      </c>
      <c r="B87" s="8" t="inlineStr">
        <is>
          <t>Yes</t>
        </is>
      </c>
      <c r="C87" s="8" t="inlineStr">
        <is>
          <t>Yes</t>
        </is>
      </c>
      <c r="D87" s="8" t="inlineStr">
        <is>
          <t>-</t>
        </is>
      </c>
      <c r="E87" s="8" t="inlineStr">
        <is>
          <t>-</t>
        </is>
      </c>
      <c r="F87" s="9" t="inlineStr">
        <is>
          <t>LinkedIn Learning Excel Certification, Stukent Simternship</t>
        </is>
      </c>
      <c r="G87" s="8" t="inlineStr">
        <is>
          <t>-</t>
        </is>
      </c>
      <c r="H87" s="8" t="inlineStr">
        <is>
          <t>Class 5 (9/9) - 2-29, 2-30, 2-40; 15 Points</t>
        </is>
      </c>
      <c r="I87" s="8" t="inlineStr">
        <is>
          <t>2026-09-09</t>
        </is>
      </c>
      <c r="J87" s="8" t="inlineStr">
        <is>
          <t>Midterm 1</t>
        </is>
      </c>
      <c r="K87" s="8" t="inlineStr">
        <is>
          <t>2026-09-30</t>
        </is>
      </c>
    </row>
    <row r="88">
      <c r="A88" s="10">
        <f>HYPERLINK("#'BUAD-304'!A1","BUAD-304")</f>
        <v/>
      </c>
      <c r="B88" s="11" t="inlineStr">
        <is>
          <t>-</t>
        </is>
      </c>
      <c r="C88" s="11" t="inlineStr">
        <is>
          <t>Yes</t>
        </is>
      </c>
      <c r="D88" s="11" t="inlineStr">
        <is>
          <t>Final Reflection Paper, Team Project Paper</t>
        </is>
      </c>
      <c r="E88" s="11" t="inlineStr">
        <is>
          <t>Yes</t>
        </is>
      </c>
      <c r="F88" s="11" t="inlineStr">
        <is>
          <t>-</t>
        </is>
      </c>
      <c r="G88" s="12" t="inlineStr">
        <is>
          <t>Ungraded prep</t>
        </is>
      </c>
      <c r="H88" s="11" t="inlineStr">
        <is>
          <t>Connect: Self-Assessment 3.01 - What is my Big thinking</t>
        </is>
      </c>
      <c r="I88" s="11" t="inlineStr">
        <is>
          <t>2026-08-31</t>
        </is>
      </c>
      <c r="J88" s="11" t="inlineStr">
        <is>
          <t>Thomas Green Case Analysis Memo</t>
        </is>
      </c>
      <c r="K88" s="11" t="inlineStr">
        <is>
          <t>2026-09-16</t>
        </is>
      </c>
    </row>
    <row r="89">
      <c r="A89" s="7">
        <f>HYPERLINK("#'ECON-351'!A1","ECON-351")</f>
        <v/>
      </c>
      <c r="B89" s="8" t="inlineStr">
        <is>
          <t>Yes</t>
        </is>
      </c>
      <c r="C89" s="8" t="inlineStr">
        <is>
          <t>Yes</t>
        </is>
      </c>
      <c r="D89" s="8" t="inlineStr">
        <is>
          <t>-</t>
        </is>
      </c>
      <c r="E89" s="8" t="inlineStr">
        <is>
          <t>-</t>
        </is>
      </c>
      <c r="F89" s="8" t="inlineStr">
        <is>
          <t>-</t>
        </is>
      </c>
      <c r="G89" s="8" t="inlineStr">
        <is>
          <t>-</t>
        </is>
      </c>
      <c r="H89" s="8" t="inlineStr">
        <is>
          <t>Homework 1 (Chapter 4) — Brightspace, due 11:59 pm</t>
        </is>
      </c>
      <c r="I89" s="8" t="inlineStr">
        <is>
          <t>2026-09-04</t>
        </is>
      </c>
      <c r="J89" s="8" t="inlineStr">
        <is>
          <t>First midterm exam</t>
        </is>
      </c>
      <c r="K89" s="8" t="inlineStr">
        <is>
          <t>2026-09-14</t>
        </is>
      </c>
    </row>
    <row r="90">
      <c r="A90" s="10">
        <f>HYPERLINK("#'HIST-103'!A1","HIST-103")</f>
        <v/>
      </c>
      <c r="B90" s="11" t="inlineStr">
        <is>
          <t>Yes</t>
        </is>
      </c>
      <c r="C90" s="11" t="inlineStr">
        <is>
          <t>-</t>
        </is>
      </c>
      <c r="D90" s="11" t="inlineStr">
        <is>
          <t>Sleep Paper, Witchcraft Paper</t>
        </is>
      </c>
      <c r="E90" s="11" t="inlineStr">
        <is>
          <t>Yes</t>
        </is>
      </c>
      <c r="F90" s="11" t="inlineStr">
        <is>
          <t>-</t>
        </is>
      </c>
      <c r="G90" s="11" t="inlineStr">
        <is>
          <t>-</t>
        </is>
      </c>
      <c r="H90" s="11" t="inlineStr">
        <is>
          <t>Sleep Paper Due</t>
        </is>
      </c>
      <c r="I90" s="11" t="inlineStr">
        <is>
          <t>2026-09-15</t>
        </is>
      </c>
      <c r="J90" s="11" t="inlineStr">
        <is>
          <t>Sleep Paper</t>
        </is>
      </c>
      <c r="K90" s="11" t="inlineStr">
        <is>
          <t>2026-09-15</t>
        </is>
      </c>
    </row>
    <row r="92">
      <c r="A92" s="13" t="inlineStr">
        <is>
          <t>Do First - August 2026 - graded assignments (first per class always listed)</t>
        </is>
      </c>
    </row>
    <row r="93">
      <c r="A93" s="14" t="inlineStr">
        <is>
          <t>Due</t>
        </is>
      </c>
      <c r="B93" s="14" t="inlineStr">
        <is>
          <t>Class</t>
        </is>
      </c>
      <c r="C93" s="14" t="inlineStr">
        <is>
          <t>Type</t>
        </is>
      </c>
      <c r="D93" s="14" t="inlineStr">
        <is>
          <t>Graded?</t>
        </is>
      </c>
      <c r="E93" s="14" t="inlineStr">
        <is>
          <t>Item</t>
        </is>
      </c>
    </row>
    <row r="94">
      <c r="A94" s="8" t="inlineStr">
        <is>
          <t>2026-09-04</t>
        </is>
      </c>
      <c r="B94" s="8" t="inlineStr">
        <is>
          <t>ECON-351</t>
        </is>
      </c>
      <c r="C94" s="15" t="inlineStr">
        <is>
          <t>Homework</t>
        </is>
      </c>
      <c r="D94" s="8" t="inlineStr">
        <is>
          <t>Yes</t>
        </is>
      </c>
      <c r="E94" s="8" t="inlineStr">
        <is>
          <t>Homework 1 (Chapter 4) — Brightspace, due 11:59 pm</t>
        </is>
      </c>
    </row>
    <row r="95">
      <c r="A95" s="11" t="inlineStr">
        <is>
          <t>2026-09-09</t>
        </is>
      </c>
      <c r="B95" s="11" t="inlineStr">
        <is>
          <t>BUAD-281</t>
        </is>
      </c>
      <c r="C95" s="46" t="inlineStr">
        <is>
          <t>Homework</t>
        </is>
      </c>
      <c r="D95" s="11" t="inlineStr">
        <is>
          <t>Yes</t>
        </is>
      </c>
      <c r="E95" s="11" t="inlineStr">
        <is>
          <t>Class 5 (9/9) - 2-29, 2-30, 2-40; 15 Points</t>
        </is>
      </c>
    </row>
    <row r="96">
      <c r="A96" s="8" t="inlineStr">
        <is>
          <t>2026-09-15</t>
        </is>
      </c>
      <c r="B96" s="8" t="inlineStr">
        <is>
          <t>HIST-103</t>
        </is>
      </c>
      <c r="C96" s="25" t="inlineStr">
        <is>
          <t>Assignment</t>
        </is>
      </c>
      <c r="D96" s="8" t="inlineStr">
        <is>
          <t>Yes</t>
        </is>
      </c>
      <c r="E96" s="8" t="inlineStr">
        <is>
          <t>Sleep Paper Due</t>
        </is>
      </c>
    </row>
    <row r="98">
      <c r="A98" s="17" t="inlineStr">
        <is>
          <t>Do First - August 2026 - Connect prep only (ungraded, not Participation)</t>
        </is>
      </c>
    </row>
    <row r="99">
      <c r="A99" s="18" t="inlineStr">
        <is>
          <t>Due</t>
        </is>
      </c>
      <c r="B99" s="18" t="inlineStr">
        <is>
          <t>Class</t>
        </is>
      </c>
      <c r="C99" s="18" t="inlineStr">
        <is>
          <t>Type</t>
        </is>
      </c>
      <c r="D99" s="18" t="inlineStr">
        <is>
          <t>Graded?</t>
        </is>
      </c>
      <c r="E99" s="18" t="inlineStr">
        <is>
          <t>Item</t>
        </is>
      </c>
    </row>
    <row r="100">
      <c r="A100" s="19" t="inlineStr">
        <is>
          <t>2026-08-31</t>
        </is>
      </c>
      <c r="B100" s="19" t="inlineStr">
        <is>
          <t>BUAD-304</t>
        </is>
      </c>
      <c r="C100" s="20" t="inlineStr">
        <is>
          <t>Homework</t>
        </is>
      </c>
      <c r="D100" s="21" t="inlineStr">
        <is>
          <t>No</t>
        </is>
      </c>
      <c r="E100" s="19" t="inlineStr">
        <is>
          <t>Connect: Self-Assessment 3.01 - What is my Big thinking about your topics and</t>
        </is>
      </c>
    </row>
    <row r="101">
      <c r="A101" s="22" t="inlineStr">
        <is>
          <t>2026-08-31</t>
        </is>
      </c>
      <c r="B101" s="22" t="inlineStr">
        <is>
          <t>BUAD-304</t>
        </is>
      </c>
      <c r="C101" s="23" t="inlineStr">
        <is>
          <t>Homework</t>
        </is>
      </c>
      <c r="D101" s="24" t="inlineStr">
        <is>
          <t>No</t>
        </is>
      </c>
      <c r="E101" s="22" t="inlineStr">
        <is>
          <t>Connect: Self-Assessment 3.04 - What Is Your Level</t>
        </is>
      </c>
    </row>
    <row r="103">
      <c r="A103" s="13" t="inlineStr">
        <is>
          <t>Upcoming graded assignments (next 45 days)</t>
        </is>
      </c>
    </row>
    <row r="104">
      <c r="A104" s="14" t="inlineStr">
        <is>
          <t>Due</t>
        </is>
      </c>
      <c r="B104" s="14" t="inlineStr">
        <is>
          <t>Class</t>
        </is>
      </c>
      <c r="C104" s="14" t="inlineStr">
        <is>
          <t>Type</t>
        </is>
      </c>
      <c r="D104" s="14" t="inlineStr">
        <is>
          <t>Graded?</t>
        </is>
      </c>
      <c r="E104" s="14" t="inlineStr">
        <is>
          <t>Item</t>
        </is>
      </c>
    </row>
    <row r="105">
      <c r="A105" s="8" t="inlineStr">
        <is>
          <t>2026-09-04</t>
        </is>
      </c>
      <c r="B105" s="8" t="inlineStr">
        <is>
          <t>ECON-351</t>
        </is>
      </c>
      <c r="C105" s="15" t="inlineStr">
        <is>
          <t>Homework</t>
        </is>
      </c>
      <c r="D105" s="8" t="inlineStr">
        <is>
          <t>Yes</t>
        </is>
      </c>
      <c r="E105" s="8" t="inlineStr">
        <is>
          <t>Homework 1 (Chapter 4) — Brightspace, due 11:59 pm</t>
        </is>
      </c>
    </row>
    <row r="106">
      <c r="A106" s="11" t="inlineStr">
        <is>
          <t>2026-09-09</t>
        </is>
      </c>
      <c r="B106" s="11" t="inlineStr">
        <is>
          <t>BUAD-281</t>
        </is>
      </c>
      <c r="C106" s="46" t="inlineStr">
        <is>
          <t>Homework</t>
        </is>
      </c>
      <c r="D106" s="11" t="inlineStr">
        <is>
          <t>Yes</t>
        </is>
      </c>
      <c r="E106" s="11" t="inlineStr">
        <is>
          <t>Class 5 (9/9) - 2-29, 2-30, 2-40; 15 Points</t>
        </is>
      </c>
    </row>
    <row r="107">
      <c r="A107" s="8" t="inlineStr">
        <is>
          <t>2026-09-11</t>
        </is>
      </c>
      <c r="B107" s="8" t="inlineStr">
        <is>
          <t>ECON-351</t>
        </is>
      </c>
      <c r="C107" s="15" t="inlineStr">
        <is>
          <t>Homework</t>
        </is>
      </c>
      <c r="D107" s="8" t="inlineStr">
        <is>
          <t>Yes</t>
        </is>
      </c>
      <c r="E107" s="8" t="inlineStr">
        <is>
          <t>Homework 2 (Chapter 9) — Brightspace, due 11:59 pm</t>
        </is>
      </c>
    </row>
    <row r="108">
      <c r="A108" s="11" t="inlineStr">
        <is>
          <t>2026-09-14</t>
        </is>
      </c>
      <c r="B108" s="11" t="inlineStr">
        <is>
          <t>ECON-351</t>
        </is>
      </c>
      <c r="C108" s="120" t="inlineStr">
        <is>
          <t>Exam</t>
        </is>
      </c>
      <c r="D108" s="11" t="inlineStr">
        <is>
          <t>Yes</t>
        </is>
      </c>
      <c r="E108" s="11" t="inlineStr">
        <is>
          <t>Midterm 1 — covers Chapters 4 and 9</t>
        </is>
      </c>
    </row>
    <row r="109">
      <c r="A109" s="8" t="inlineStr">
        <is>
          <t>2026-09-14</t>
        </is>
      </c>
      <c r="B109" s="8" t="inlineStr">
        <is>
          <t>ECON-351</t>
        </is>
      </c>
      <c r="C109" s="25" t="inlineStr">
        <is>
          <t>Assignment</t>
        </is>
      </c>
      <c r="D109" s="8" t="inlineStr">
        <is>
          <t>Yes</t>
        </is>
      </c>
      <c r="E109" s="8" t="inlineStr">
        <is>
          <t>First midterm exam</t>
        </is>
      </c>
    </row>
    <row r="110">
      <c r="A110" s="11" t="inlineStr">
        <is>
          <t>2026-09-15</t>
        </is>
      </c>
      <c r="B110" s="11" t="inlineStr">
        <is>
          <t>HIST-103</t>
        </is>
      </c>
      <c r="C110" s="16" t="inlineStr">
        <is>
          <t>Assignment</t>
        </is>
      </c>
      <c r="D110" s="11" t="inlineStr">
        <is>
          <t>Yes</t>
        </is>
      </c>
      <c r="E110" s="11" t="inlineStr">
        <is>
          <t>Sleep Paper Due</t>
        </is>
      </c>
    </row>
    <row r="111">
      <c r="A111" s="8" t="inlineStr">
        <is>
          <t>2026-09-15</t>
        </is>
      </c>
      <c r="B111" s="8" t="inlineStr">
        <is>
          <t>HIST-103</t>
        </is>
      </c>
      <c r="C111" s="25" t="inlineStr">
        <is>
          <t>Assignment</t>
        </is>
      </c>
      <c r="D111" s="8" t="inlineStr">
        <is>
          <t>Yes</t>
        </is>
      </c>
      <c r="E111" s="8" t="inlineStr">
        <is>
          <t>Sleep Paper</t>
        </is>
      </c>
    </row>
    <row r="112">
      <c r="A112" s="11" t="inlineStr">
        <is>
          <t>2026-09-16</t>
        </is>
      </c>
      <c r="B112" s="11" t="inlineStr">
        <is>
          <t>BUAD-281</t>
        </is>
      </c>
      <c r="C112" s="46" t="inlineStr">
        <is>
          <t>Homework</t>
        </is>
      </c>
      <c r="D112" s="11" t="inlineStr">
        <is>
          <t>Yes</t>
        </is>
      </c>
      <c r="E112" s="11" t="inlineStr">
        <is>
          <t>Class 7 (9/16) - 3-24, 3-28, 3-32; 15 Points</t>
        </is>
      </c>
    </row>
    <row r="113">
      <c r="A113" s="8" t="inlineStr">
        <is>
          <t>2026-09-16</t>
        </is>
      </c>
      <c r="B113" s="8" t="inlineStr">
        <is>
          <t>BUAD-304</t>
        </is>
      </c>
      <c r="C113" s="25" t="inlineStr">
        <is>
          <t>Assignment</t>
        </is>
      </c>
      <c r="D113" s="8" t="inlineStr">
        <is>
          <t>Yes</t>
        </is>
      </c>
      <c r="E113" s="8" t="inlineStr">
        <is>
          <t>Thomas Green Case Analysis Memo</t>
        </is>
      </c>
    </row>
    <row r="114">
      <c r="A114" s="11" t="inlineStr">
        <is>
          <t>2026-09-17</t>
        </is>
      </c>
      <c r="B114" s="11" t="inlineStr">
        <is>
          <t>HIST-103</t>
        </is>
      </c>
      <c r="C114" s="16" t="inlineStr">
        <is>
          <t>Assignment</t>
        </is>
      </c>
      <c r="D114" s="11" t="inlineStr">
        <is>
          <t>Yes</t>
        </is>
      </c>
      <c r="E114" s="11" t="inlineStr">
        <is>
          <t>Final Exam</t>
        </is>
      </c>
    </row>
    <row r="115">
      <c r="A115" s="8" t="inlineStr">
        <is>
          <t>2026-09-18</t>
        </is>
      </c>
      <c r="B115" s="8" t="inlineStr">
        <is>
          <t>ECON-351</t>
        </is>
      </c>
      <c r="C115" s="15" t="inlineStr">
        <is>
          <t>Homework</t>
        </is>
      </c>
      <c r="D115" s="8" t="inlineStr">
        <is>
          <t>Yes</t>
        </is>
      </c>
      <c r="E115" s="8" t="inlineStr">
        <is>
          <t>Homework 3 — Brightspace, due 11:59 pm</t>
        </is>
      </c>
    </row>
    <row r="116">
      <c r="A116" s="11" t="inlineStr">
        <is>
          <t>2026-09-21</t>
        </is>
      </c>
      <c r="B116" s="11" t="inlineStr">
        <is>
          <t>BUAD-281</t>
        </is>
      </c>
      <c r="C116" s="46" t="inlineStr">
        <is>
          <t>Homework</t>
        </is>
      </c>
      <c r="D116" s="11" t="inlineStr">
        <is>
          <t>Yes</t>
        </is>
      </c>
      <c r="E116" s="11" t="inlineStr">
        <is>
          <t>Class 8 (9/21) - 5-27 5-46; 10 Points</t>
        </is>
      </c>
    </row>
    <row r="117">
      <c r="A117" s="8" t="inlineStr">
        <is>
          <t>2026-09-23</t>
        </is>
      </c>
      <c r="B117" s="8" t="inlineStr">
        <is>
          <t>BUAD-281</t>
        </is>
      </c>
      <c r="C117" s="15" t="inlineStr">
        <is>
          <t>Homework</t>
        </is>
      </c>
      <c r="D117" s="8" t="inlineStr">
        <is>
          <t>Yes</t>
        </is>
      </c>
      <c r="E117" s="8" t="inlineStr">
        <is>
          <t>Class 9 (9/23) - 4-21, 4-22; 10 Points</t>
        </is>
      </c>
    </row>
    <row r="118">
      <c r="A118" s="11" t="inlineStr">
        <is>
          <t>2026-09-25</t>
        </is>
      </c>
      <c r="B118" s="11" t="inlineStr">
        <is>
          <t>ECON-351</t>
        </is>
      </c>
      <c r="C118" s="46" t="inlineStr">
        <is>
          <t>Homework</t>
        </is>
      </c>
      <c r="D118" s="11" t="inlineStr">
        <is>
          <t>Yes</t>
        </is>
      </c>
      <c r="E118" s="11" t="inlineStr">
        <is>
          <t>Homework 4 (Chapter 3) — Brightspace, due 11:59 pm</t>
        </is>
      </c>
    </row>
    <row r="119">
      <c r="A119" s="8" t="inlineStr">
        <is>
          <t>2026-09-25</t>
        </is>
      </c>
      <c r="B119" s="8" t="inlineStr">
        <is>
          <t>BUAD-304</t>
        </is>
      </c>
      <c r="C119" s="26" t="inlineStr">
        <is>
          <t>Research</t>
        </is>
      </c>
      <c r="D119" s="8" t="inlineStr">
        <is>
          <t>Yes</t>
        </is>
      </c>
      <c r="E119" s="8" t="inlineStr">
        <is>
          <t>Research: Setup deadline (registration, prescreening, contacts)</t>
        </is>
      </c>
    </row>
    <row r="120">
      <c r="A120" s="11" t="inlineStr">
        <is>
          <t>2026-09-28</t>
        </is>
      </c>
      <c r="B120" s="11" t="inlineStr">
        <is>
          <t>BUAD-281</t>
        </is>
      </c>
      <c r="C120" s="46" t="inlineStr">
        <is>
          <t>Homework</t>
        </is>
      </c>
      <c r="D120" s="11" t="inlineStr">
        <is>
          <t>Yes</t>
        </is>
      </c>
      <c r="E120" s="11" t="inlineStr">
        <is>
          <t>Class 10 (9/28) - 8-28, 8-29; 10 Points</t>
        </is>
      </c>
    </row>
    <row r="121">
      <c r="A121" s="8" t="inlineStr">
        <is>
          <t>2026-09-28</t>
        </is>
      </c>
      <c r="B121" s="8" t="inlineStr">
        <is>
          <t>BUAD-304</t>
        </is>
      </c>
      <c r="C121" s="25" t="inlineStr">
        <is>
          <t>Assignment</t>
        </is>
      </c>
      <c r="D121" s="8" t="inlineStr">
        <is>
          <t>Yes</t>
        </is>
      </c>
      <c r="E121" s="8" t="inlineStr">
        <is>
          <t>Team project proposal &amp; team contract</t>
        </is>
      </c>
    </row>
    <row r="122">
      <c r="A122" s="11" t="inlineStr">
        <is>
          <t>2026-09-28</t>
        </is>
      </c>
      <c r="B122" s="11" t="inlineStr">
        <is>
          <t>BUAD-304</t>
        </is>
      </c>
      <c r="C122" s="16" t="inlineStr">
        <is>
          <t>Assignment</t>
        </is>
      </c>
      <c r="D122" s="11" t="inlineStr">
        <is>
          <t>Yes</t>
        </is>
      </c>
      <c r="E122" s="11" t="inlineStr">
        <is>
          <t>Proposal &amp; Team Contract</t>
        </is>
      </c>
    </row>
    <row r="123">
      <c r="A123" s="8" t="inlineStr">
        <is>
          <t>2026-09-30</t>
        </is>
      </c>
      <c r="B123" s="8" t="inlineStr">
        <is>
          <t>BUAD-281</t>
        </is>
      </c>
      <c r="C123" s="47" t="inlineStr">
        <is>
          <t>Exam</t>
        </is>
      </c>
      <c r="D123" s="8" t="inlineStr">
        <is>
          <t>Yes</t>
        </is>
      </c>
      <c r="E123" s="8" t="inlineStr">
        <is>
          <t>9/30 Midterm 1: 250 Points Chapters 1, 2, 3, 4, 5, 8</t>
        </is>
      </c>
    </row>
    <row r="124">
      <c r="A124" s="11" t="inlineStr">
        <is>
          <t>2026-09-30</t>
        </is>
      </c>
      <c r="B124" s="11" t="inlineStr">
        <is>
          <t>BUAD-281</t>
        </is>
      </c>
      <c r="C124" s="16" t="inlineStr">
        <is>
          <t>Assignment</t>
        </is>
      </c>
      <c r="D124" s="11" t="inlineStr">
        <is>
          <t>Yes</t>
        </is>
      </c>
      <c r="E124" s="11" t="inlineStr">
        <is>
          <t>Midterm 1</t>
        </is>
      </c>
    </row>
    <row r="125">
      <c r="A125" s="8" t="inlineStr">
        <is>
          <t>2026-10-02</t>
        </is>
      </c>
      <c r="B125" s="8" t="inlineStr">
        <is>
          <t>ECON-351</t>
        </is>
      </c>
      <c r="C125" s="15" t="inlineStr">
        <is>
          <t>Homework</t>
        </is>
      </c>
      <c r="D125" s="8" t="inlineStr">
        <is>
          <t>Yes</t>
        </is>
      </c>
      <c r="E125" s="8" t="inlineStr">
        <is>
          <t>Homework 5 (Chapter 5) — Brightspace, due 11:59 pm</t>
        </is>
      </c>
    </row>
    <row r="126">
      <c r="A126" s="11" t="inlineStr">
        <is>
          <t>2026-10-02</t>
        </is>
      </c>
      <c r="B126" s="11" t="inlineStr">
        <is>
          <t>ECON-351</t>
        </is>
      </c>
      <c r="C126" s="16" t="inlineStr">
        <is>
          <t>Assignment</t>
        </is>
      </c>
      <c r="D126" s="11" t="inlineStr">
        <is>
          <t>Yes</t>
        </is>
      </c>
      <c r="E126" s="11" t="inlineStr">
        <is>
          <t>AI Forecast Project — Part I</t>
        </is>
      </c>
    </row>
  </sheetData>
  <mergeCells count="77">
    <mergeCell ref="E36:K36"/>
    <mergeCell ref="E75:K75"/>
    <mergeCell ref="E22:K22"/>
    <mergeCell ref="E53:K53"/>
    <mergeCell ref="E55:K55"/>
    <mergeCell ref="E67:K67"/>
    <mergeCell ref="E39:K39"/>
    <mergeCell ref="E48:K48"/>
    <mergeCell ref="A2:K2"/>
    <mergeCell ref="E29:K29"/>
    <mergeCell ref="E38:K38"/>
    <mergeCell ref="A17:K17"/>
    <mergeCell ref="E31:K31"/>
    <mergeCell ref="E40:K40"/>
    <mergeCell ref="C14:K14"/>
    <mergeCell ref="E26:K26"/>
    <mergeCell ref="A11:K11"/>
    <mergeCell ref="A98:K98"/>
    <mergeCell ref="E76:K76"/>
    <mergeCell ref="E25:K25"/>
    <mergeCell ref="E66:K66"/>
    <mergeCell ref="E58:K58"/>
    <mergeCell ref="E50:K50"/>
    <mergeCell ref="E68:K68"/>
    <mergeCell ref="E42:K42"/>
    <mergeCell ref="E52:K52"/>
    <mergeCell ref="E44:K44"/>
    <mergeCell ref="E20:K20"/>
    <mergeCell ref="E69:K69"/>
    <mergeCell ref="E78:K78"/>
    <mergeCell ref="E30:K30"/>
    <mergeCell ref="E59:K59"/>
    <mergeCell ref="E77:K77"/>
    <mergeCell ref="E46:K46"/>
    <mergeCell ref="A83:K83"/>
    <mergeCell ref="E61:K61"/>
    <mergeCell ref="A92:K92"/>
    <mergeCell ref="E70:K70"/>
    <mergeCell ref="E57:K57"/>
    <mergeCell ref="E54:K54"/>
    <mergeCell ref="E32:K32"/>
    <mergeCell ref="E72:K72"/>
    <mergeCell ref="A1:K1"/>
    <mergeCell ref="C12:K12"/>
    <mergeCell ref="E41:K41"/>
    <mergeCell ref="A103:K103"/>
    <mergeCell ref="E47:K47"/>
    <mergeCell ref="E56:K56"/>
    <mergeCell ref="E43:K43"/>
    <mergeCell ref="E24:K24"/>
    <mergeCell ref="E33:K33"/>
    <mergeCell ref="E35:K35"/>
    <mergeCell ref="E19:K19"/>
    <mergeCell ref="E28:K28"/>
    <mergeCell ref="A4:K4"/>
    <mergeCell ref="E60:K60"/>
    <mergeCell ref="E74:K74"/>
    <mergeCell ref="E45:K45"/>
    <mergeCell ref="E37:K37"/>
    <mergeCell ref="E21:K21"/>
    <mergeCell ref="A84:K84"/>
    <mergeCell ref="E62:K62"/>
    <mergeCell ref="E71:K71"/>
    <mergeCell ref="E23:K23"/>
    <mergeCell ref="A3:K3"/>
    <mergeCell ref="E64:K64"/>
    <mergeCell ref="E79:K79"/>
    <mergeCell ref="C13:K13"/>
    <mergeCell ref="E73:K73"/>
    <mergeCell ref="E51:K51"/>
    <mergeCell ref="E63:K63"/>
    <mergeCell ref="C15:K15"/>
    <mergeCell ref="E65:K65"/>
    <mergeCell ref="A81:K81"/>
    <mergeCell ref="E34:K34"/>
    <mergeCell ref="E49:K49"/>
    <mergeCell ref="E27:K27"/>
  </mergeCells>
  <hyperlinks>
    <hyperlink xmlns:r="http://schemas.openxmlformats.org/officeDocument/2006/relationships" ref="B6" r:id="rId1"/>
    <hyperlink xmlns:r="http://schemas.openxmlformats.org/officeDocument/2006/relationships" ref="B7" r:id="rId2"/>
    <hyperlink xmlns:r="http://schemas.openxmlformats.org/officeDocument/2006/relationships" ref="B8" r:id="rId3"/>
    <hyperlink xmlns:r="http://schemas.openxmlformats.org/officeDocument/2006/relationships" ref="B9" r:id="rId4"/>
  </hyperlinks>
  <pageMargins left="0.75" right="0.75" top="1" bottom="1" header="0.5" footer="0.5"/>
</worksheet>
</file>

<file path=xl/worksheets/sheet2.xml><?xml version="1.0" encoding="utf-8"?>
<worksheet xmlns="http://schemas.openxmlformats.org/spreadsheetml/2006/main">
  <sheetPr>
    <tabColor rgb="001F77B4"/>
    <outlinePr summaryBelow="1" summaryRight="1"/>
    <pageSetUpPr/>
  </sheetPr>
  <dimension ref="A1:F51"/>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66" t="inlineStr">
        <is>
          <t>BUAD-304 — Organizational Behavior and Leadership</t>
        </is>
      </c>
    </row>
    <row r="2" ht="40" customHeight="1">
      <c r="A2" s="28">
        <f>HYPERLINK("https://raw.githubusercontent.com/vengeanceaiUSC/Syllabus-/cursor/add-syllabus-dissector-skill-a676/output/sources/buad-304-source.pdf","SEE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Group Project</t>
        </is>
      </c>
      <c r="F10" s="69" t="inlineStr">
        <is>
          <t>Details</t>
        </is>
      </c>
    </row>
    <row r="11">
      <c r="A11" s="70" t="inlineStr">
        <is>
          <t>Final Exam</t>
        </is>
      </c>
      <c r="B11" s="71" t="inlineStr">
        <is>
          <t>25%</t>
        </is>
      </c>
      <c r="C11" s="72" t="inlineStr">
        <is>
          <t>2026-08-24</t>
        </is>
      </c>
      <c r="D11" s="72" t="inlineStr">
        <is>
          <t>2026-12-09</t>
        </is>
      </c>
      <c r="E11" s="72" t="inlineStr">
        <is>
          <t>No</t>
        </is>
      </c>
      <c r="F11" s="73">
        <f>HYPERLINK("https://raw.githubusercontent.com/vengeanceaiUSC/Syllabus-/cursor/add-syllabus-dissector-skill-a676/output/documents/buad-304-final-exam.pdf","Open PDF")</f>
        <v/>
      </c>
    </row>
    <row r="12">
      <c r="A12" s="74" t="inlineStr">
        <is>
          <t>Exam</t>
        </is>
      </c>
      <c r="B12" s="75" t="inlineStr"/>
      <c r="C12" s="75" t="inlineStr">
        <is>
          <t>2026-08-24</t>
        </is>
      </c>
      <c r="D12" s="75" t="inlineStr">
        <is>
          <t>2026-12-09</t>
        </is>
      </c>
      <c r="E12" s="75" t="inlineStr"/>
      <c r="F12" s="76" t="inlineStr">
        <is>
          <t>Final Exam</t>
        </is>
      </c>
    </row>
    <row r="13">
      <c r="A13" s="77" t="inlineStr">
        <is>
          <t>Participation</t>
        </is>
      </c>
      <c r="B13" s="71" t="inlineStr">
        <is>
          <t>15%</t>
        </is>
      </c>
      <c r="C13" s="78" t="inlineStr">
        <is>
          <t>2026-08-24</t>
        </is>
      </c>
      <c r="D13" s="78" t="inlineStr">
        <is>
          <t>2026-12-04</t>
        </is>
      </c>
      <c r="E13" s="78" t="inlineStr">
        <is>
          <t>No</t>
        </is>
      </c>
      <c r="F13" s="79">
        <f>HYPERLINK("https://raw.githubusercontent.com/vengeanceaiUSC/Syllabus-/cursor/add-syllabus-dissector-skill-a676/output/documents/buad-304-participation.pdf","Open PDF")</f>
        <v/>
      </c>
    </row>
    <row r="14">
      <c r="A14" s="80" t="inlineStr">
        <is>
          <t>Research</t>
        </is>
      </c>
      <c r="B14" s="75" t="inlineStr"/>
      <c r="C14" s="75" t="inlineStr">
        <is>
          <t>2026-08-24</t>
        </is>
      </c>
      <c r="D14" s="75" t="inlineStr"/>
      <c r="E14" s="75" t="inlineStr"/>
      <c r="F14" s="76" t="inlineStr">
        <is>
          <t>Research: SONA registration opens</t>
        </is>
      </c>
    </row>
    <row r="15">
      <c r="A15" s="80" t="inlineStr">
        <is>
          <t>Research</t>
        </is>
      </c>
      <c r="B15" s="75" t="inlineStr"/>
      <c r="C15" s="75" t="inlineStr">
        <is>
          <t>2026-09-11</t>
        </is>
      </c>
      <c r="D15" s="75" t="inlineStr"/>
      <c r="E15" s="75" t="inlineStr"/>
      <c r="F15" s="76" t="inlineStr">
        <is>
          <t>Research: Prescreening questionnaire opens</t>
        </is>
      </c>
    </row>
    <row r="16">
      <c r="A16" s="80" t="inlineStr">
        <is>
          <t>Research</t>
        </is>
      </c>
      <c r="B16" s="75" t="inlineStr"/>
      <c r="C16" s="75" t="inlineStr"/>
      <c r="D16" s="75" t="inlineStr">
        <is>
          <t>2026-09-25</t>
        </is>
      </c>
      <c r="E16" s="75" t="inlineStr"/>
      <c r="F16" s="76" t="inlineStr">
        <is>
          <t>Research: Setup deadline (registration, prescreening, contacts)</t>
        </is>
      </c>
    </row>
    <row r="17">
      <c r="A17" s="80" t="inlineStr">
        <is>
          <t>Research</t>
        </is>
      </c>
      <c r="B17" s="75" t="inlineStr"/>
      <c r="C17" s="75" t="inlineStr">
        <is>
          <t>2026-09-26</t>
        </is>
      </c>
      <c r="D17" s="75" t="inlineStr"/>
      <c r="E17" s="75" t="inlineStr"/>
      <c r="F17" s="76" t="inlineStr">
        <is>
          <t>Research: Study invitations begin (after setup)</t>
        </is>
      </c>
    </row>
    <row r="18">
      <c r="A18" s="80" t="inlineStr">
        <is>
          <t>Research</t>
        </is>
      </c>
      <c r="B18" s="75" t="inlineStr"/>
      <c r="C18" s="75" t="inlineStr"/>
      <c r="D18" s="75" t="inlineStr">
        <is>
          <t>2026-10-26</t>
        </is>
      </c>
      <c r="E18" s="75" t="inlineStr"/>
      <c r="F18" s="76" t="inlineStr">
        <is>
          <t>Research: Employee contact surveys sent</t>
        </is>
      </c>
    </row>
    <row r="19">
      <c r="A19" s="80" t="inlineStr">
        <is>
          <t>Research</t>
        </is>
      </c>
      <c r="B19" s="75" t="inlineStr"/>
      <c r="C19" s="75" t="inlineStr"/>
      <c r="D19" s="75" t="inlineStr">
        <is>
          <t>2026-12-04</t>
        </is>
      </c>
      <c r="E19" s="75" t="inlineStr"/>
      <c r="F19" s="76" t="inlineStr">
        <is>
          <t>Research: Complete 2.0 research credits</t>
        </is>
      </c>
    </row>
    <row r="20">
      <c r="A20" s="70" t="inlineStr">
        <is>
          <t>Midterm Exam</t>
        </is>
      </c>
      <c r="B20" s="71" t="inlineStr">
        <is>
          <t>15%</t>
        </is>
      </c>
      <c r="C20" s="72" t="inlineStr">
        <is>
          <t>2026-08-24</t>
        </is>
      </c>
      <c r="D20" s="72" t="inlineStr">
        <is>
          <t>2026-10-14</t>
        </is>
      </c>
      <c r="E20" s="72" t="inlineStr">
        <is>
          <t>No</t>
        </is>
      </c>
      <c r="F20" s="73">
        <f>HYPERLINK("https://raw.githubusercontent.com/vengeanceaiUSC/Syllabus-/cursor/add-syllabus-dissector-skill-a676/output/documents/buad-304-midterm-exam.pdf","Open PDF")</f>
        <v/>
      </c>
    </row>
    <row r="21">
      <c r="A21" s="74" t="inlineStr">
        <is>
          <t>Exam</t>
        </is>
      </c>
      <c r="B21" s="75" t="inlineStr"/>
      <c r="C21" s="75" t="inlineStr">
        <is>
          <t>2026-08-24</t>
        </is>
      </c>
      <c r="D21" s="75" t="inlineStr">
        <is>
          <t>2026-10-14</t>
        </is>
      </c>
      <c r="E21" s="75" t="inlineStr"/>
      <c r="F21" s="76" t="inlineStr">
        <is>
          <t>Midterm Exam</t>
        </is>
      </c>
    </row>
    <row r="22">
      <c r="A22" s="77" t="inlineStr">
        <is>
          <t>Team Project Paper</t>
        </is>
      </c>
      <c r="B22" s="71" t="inlineStr">
        <is>
          <t>15%</t>
        </is>
      </c>
      <c r="C22" s="78" t="inlineStr">
        <is>
          <t>2026-08-31</t>
        </is>
      </c>
      <c r="D22" s="78" t="inlineStr">
        <is>
          <t>2026-11-09</t>
        </is>
      </c>
      <c r="E22" s="78" t="inlineStr">
        <is>
          <t>Yes</t>
        </is>
      </c>
      <c r="F22" s="79">
        <f>HYPERLINK("https://raw.githubusercontent.com/vengeanceaiUSC/Syllabus-/cursor/add-syllabus-dissector-skill-a676/output/documents/buad-304-team-project-paper.pdf","Open PDF")</f>
        <v/>
      </c>
    </row>
    <row r="23">
      <c r="A23" s="81" t="inlineStr">
        <is>
          <t>Assignment</t>
        </is>
      </c>
      <c r="B23" s="75" t="inlineStr"/>
      <c r="C23" s="75" t="inlineStr">
        <is>
          <t>2026-08-31</t>
        </is>
      </c>
      <c r="D23" s="75" t="inlineStr">
        <is>
          <t>2026-10-19</t>
        </is>
      </c>
      <c r="E23" s="75" t="inlineStr"/>
      <c r="F23" s="76" t="inlineStr">
        <is>
          <t>Team project outline</t>
        </is>
      </c>
    </row>
    <row r="24">
      <c r="A24" s="81" t="inlineStr">
        <is>
          <t>Assignment</t>
        </is>
      </c>
      <c r="B24" s="75" t="inlineStr"/>
      <c r="C24" s="75" t="inlineStr">
        <is>
          <t>2026-08-31</t>
        </is>
      </c>
      <c r="D24" s="75" t="inlineStr">
        <is>
          <t>2026-11-09</t>
        </is>
      </c>
      <c r="E24" s="75" t="inlineStr"/>
      <c r="F24" s="76" t="inlineStr">
        <is>
          <t>Team project paper</t>
        </is>
      </c>
    </row>
    <row r="25">
      <c r="A25" s="70" t="inlineStr">
        <is>
          <t>Final Reflection Paper</t>
        </is>
      </c>
      <c r="B25" s="71" t="inlineStr">
        <is>
          <t>10%</t>
        </is>
      </c>
      <c r="C25" s="72" t="inlineStr">
        <is>
          <t>2026-08-31</t>
        </is>
      </c>
      <c r="D25" s="72" t="inlineStr">
        <is>
          <t>2026-12-02</t>
        </is>
      </c>
      <c r="E25" s="72" t="inlineStr">
        <is>
          <t>No</t>
        </is>
      </c>
      <c r="F25" s="73">
        <f>HYPERLINK("https://raw.githubusercontent.com/vengeanceaiUSC/Syllabus-/cursor/add-syllabus-dissector-skill-a676/output/documents/buad-304-final-reflection-paper.pdf","Open PDF")</f>
        <v/>
      </c>
    </row>
    <row r="26">
      <c r="A26" s="81" t="inlineStr">
        <is>
          <t>Assignment</t>
        </is>
      </c>
      <c r="B26" s="75" t="inlineStr"/>
      <c r="C26" s="75" t="inlineStr">
        <is>
          <t>2026-08-31</t>
        </is>
      </c>
      <c r="D26" s="75" t="inlineStr">
        <is>
          <t>2026-12-02</t>
        </is>
      </c>
      <c r="E26" s="75" t="inlineStr"/>
      <c r="F26" s="76" t="inlineStr">
        <is>
          <t>Personal Reflection Paper</t>
        </is>
      </c>
    </row>
    <row r="27">
      <c r="A27" s="77" t="inlineStr">
        <is>
          <t>Presentation</t>
        </is>
      </c>
      <c r="B27" s="71" t="inlineStr">
        <is>
          <t>10%</t>
        </is>
      </c>
      <c r="C27" s="78" t="inlineStr">
        <is>
          <t>2026-08-31</t>
        </is>
      </c>
      <c r="D27" s="78" t="inlineStr">
        <is>
          <t>2026-11-09</t>
        </is>
      </c>
      <c r="E27" s="78" t="inlineStr">
        <is>
          <t>Yes</t>
        </is>
      </c>
      <c r="F27" s="79">
        <f>HYPERLINK("https://raw.githubusercontent.com/vengeanceaiUSC/Syllabus-/cursor/add-syllabus-dissector-skill-a676/output/documents/buad-304-presentation.pdf","Open PDF")</f>
        <v/>
      </c>
    </row>
    <row r="28">
      <c r="A28" s="81" t="inlineStr">
        <is>
          <t>Assignment</t>
        </is>
      </c>
      <c r="B28" s="75" t="inlineStr"/>
      <c r="C28" s="75" t="inlineStr">
        <is>
          <t>2026-08-31</t>
        </is>
      </c>
      <c r="D28" s="75" t="inlineStr">
        <is>
          <t>2026-11-09</t>
        </is>
      </c>
      <c r="E28" s="75" t="inlineStr"/>
      <c r="F28" s="76" t="inlineStr">
        <is>
          <t>Presentation slides</t>
        </is>
      </c>
    </row>
    <row r="29">
      <c r="A29" s="70" t="inlineStr">
        <is>
          <t>Case Analysis Assignments</t>
        </is>
      </c>
      <c r="B29" s="71" t="inlineStr">
        <is>
          <t>5%</t>
        </is>
      </c>
      <c r="C29" s="72" t="inlineStr">
        <is>
          <t>2026-08-26</t>
        </is>
      </c>
      <c r="D29" s="72" t="inlineStr">
        <is>
          <t>2026-10-21</t>
        </is>
      </c>
      <c r="E29" s="72" t="inlineStr">
        <is>
          <t>No</t>
        </is>
      </c>
      <c r="F29" s="73">
        <f>HYPERLINK("https://raw.githubusercontent.com/vengeanceaiUSC/Syllabus-/cursor/add-syllabus-dissector-skill-a676/output/documents/buad-304-case-analysis-assignments.pdf","Open PDF")</f>
        <v/>
      </c>
    </row>
    <row r="30">
      <c r="A30" s="81" t="inlineStr">
        <is>
          <t>Assignment</t>
        </is>
      </c>
      <c r="B30" s="75" t="inlineStr"/>
      <c r="C30" s="75" t="inlineStr">
        <is>
          <t>2026-08-26</t>
        </is>
      </c>
      <c r="D30" s="75" t="inlineStr">
        <is>
          <t>2026-09-16</t>
        </is>
      </c>
      <c r="E30" s="75" t="inlineStr"/>
      <c r="F30" s="76" t="inlineStr">
        <is>
          <t>Thomas Green Case Analysis Memo</t>
        </is>
      </c>
    </row>
    <row r="31">
      <c r="A31" s="81" t="inlineStr">
        <is>
          <t>Assignment</t>
        </is>
      </c>
      <c r="B31" s="75" t="inlineStr"/>
      <c r="C31" s="75" t="inlineStr">
        <is>
          <t>2026-08-26</t>
        </is>
      </c>
      <c r="D31" s="75" t="inlineStr">
        <is>
          <t>2026-10-21</t>
        </is>
      </c>
      <c r="E31" s="75" t="inlineStr"/>
      <c r="F31" s="76" t="inlineStr">
        <is>
          <t>SkillsForTomorrow Analysis Memo</t>
        </is>
      </c>
    </row>
    <row r="32">
      <c r="A32" s="77" t="inlineStr">
        <is>
          <t>Proposal &amp; Team Contract</t>
        </is>
      </c>
      <c r="B32" s="71" t="inlineStr">
        <is>
          <t>3%</t>
        </is>
      </c>
      <c r="C32" s="78" t="inlineStr">
        <is>
          <t>2026-08-31</t>
        </is>
      </c>
      <c r="D32" s="78" t="inlineStr">
        <is>
          <t>2026-09-28</t>
        </is>
      </c>
      <c r="E32" s="78" t="inlineStr">
        <is>
          <t>Yes</t>
        </is>
      </c>
      <c r="F32" s="79">
        <f>HYPERLINK("https://raw.githubusercontent.com/vengeanceaiUSC/Syllabus-/cursor/add-syllabus-dissector-skill-a676/output/documents/buad-304-proposal-team-contract.pdf","Open PDF")</f>
        <v/>
      </c>
    </row>
    <row r="33">
      <c r="A33" s="81" t="inlineStr">
        <is>
          <t>Assignment</t>
        </is>
      </c>
      <c r="B33" s="75" t="inlineStr"/>
      <c r="C33" s="75" t="inlineStr">
        <is>
          <t>2026-08-31</t>
        </is>
      </c>
      <c r="D33" s="75" t="inlineStr">
        <is>
          <t>2026-09-28</t>
        </is>
      </c>
      <c r="E33" s="75" t="inlineStr"/>
      <c r="F33" s="76" t="inlineStr">
        <is>
          <t>Team project proposal &amp; team contract</t>
        </is>
      </c>
    </row>
    <row r="34">
      <c r="A34" s="70" t="inlineStr">
        <is>
          <t>Self &amp; Peer Evaluation</t>
        </is>
      </c>
      <c r="B34" s="71" t="inlineStr">
        <is>
          <t>2%</t>
        </is>
      </c>
      <c r="C34" s="72" t="inlineStr">
        <is>
          <t>2026-08-31</t>
        </is>
      </c>
      <c r="D34" s="72" t="inlineStr">
        <is>
          <t>2026-11-18</t>
        </is>
      </c>
      <c r="E34" s="72" t="inlineStr">
        <is>
          <t>Yes</t>
        </is>
      </c>
      <c r="F34" s="73">
        <f>HYPERLINK("https://raw.githubusercontent.com/vengeanceaiUSC/Syllabus-/cursor/add-syllabus-dissector-skill-a676/output/documents/buad-304-self-peer-evaluation.pdf","Open PDF")</f>
        <v/>
      </c>
    </row>
    <row r="35">
      <c r="A35" s="81" t="inlineStr">
        <is>
          <t>Assignment</t>
        </is>
      </c>
      <c r="B35" s="75" t="inlineStr"/>
      <c r="C35" s="75" t="inlineStr">
        <is>
          <t>2026-08-31</t>
        </is>
      </c>
      <c r="D35" s="75" t="inlineStr">
        <is>
          <t>2026-11-18</t>
        </is>
      </c>
      <c r="E35" s="75" t="inlineStr"/>
      <c r="F35" s="76" t="inlineStr">
        <is>
          <t>Self &amp; peer evaluation</t>
        </is>
      </c>
    </row>
    <row r="36">
      <c r="A36" s="77" t="inlineStr">
        <is>
          <t>Personal Assessments (Connect)</t>
        </is>
      </c>
      <c r="B36" s="71" t="inlineStr">
        <is>
          <t>—</t>
        </is>
      </c>
      <c r="C36" s="78" t="inlineStr"/>
      <c r="D36" s="78" t="inlineStr">
        <is>
          <t>2026-12-20</t>
        </is>
      </c>
      <c r="E36" s="78" t="inlineStr">
        <is>
          <t>No</t>
        </is>
      </c>
      <c r="F36" s="79">
        <f>HYPERLINK("https://raw.githubusercontent.com/vengeanceaiUSC/Syllabus-/cursor/add-syllabus-dissector-skill-a676/output/documents/buad-304-personal-assessments-connect.pdf","Open PDF")</f>
        <v/>
      </c>
    </row>
    <row r="37">
      <c r="A37" s="82" t="inlineStr">
        <is>
          <t>Homework</t>
        </is>
      </c>
      <c r="B37" s="75" t="inlineStr"/>
      <c r="C37" s="75" t="inlineStr"/>
      <c r="D37" s="75" t="inlineStr">
        <is>
          <t>2026-08-31</t>
        </is>
      </c>
      <c r="E37" s="75" t="inlineStr"/>
      <c r="F37" s="76" t="inlineStr">
        <is>
          <t>Connect: Self-Assessment 3.01 - What is my Big thinking about your topics and</t>
        </is>
      </c>
    </row>
    <row r="38">
      <c r="A38" s="82" t="inlineStr">
        <is>
          <t>Homework</t>
        </is>
      </c>
      <c r="B38" s="75" t="inlineStr"/>
      <c r="C38" s="75" t="inlineStr"/>
      <c r="D38" s="75" t="inlineStr">
        <is>
          <t>2026-08-31</t>
        </is>
      </c>
      <c r="E38" s="75" t="inlineStr"/>
      <c r="F38" s="76" t="inlineStr">
        <is>
          <t>Connect: Self-Assessment 3.04 - What Is Your Level</t>
        </is>
      </c>
    </row>
    <row r="39">
      <c r="A39" s="82" t="inlineStr">
        <is>
          <t>Homework</t>
        </is>
      </c>
      <c r="B39" s="75" t="inlineStr"/>
      <c r="C39" s="75" t="inlineStr"/>
      <c r="D39" s="75" t="inlineStr">
        <is>
          <t>2026-09-02</t>
        </is>
      </c>
      <c r="E39" s="75" t="inlineStr"/>
      <c r="F39" s="76" t="inlineStr">
        <is>
          <t>Connect: Self-Assessment 5.01 - Assessing Your</t>
        </is>
      </c>
    </row>
    <row r="40">
      <c r="A40" s="82" t="inlineStr">
        <is>
          <t>Homework</t>
        </is>
      </c>
      <c r="B40" s="75" t="inlineStr"/>
      <c r="C40" s="75" t="inlineStr"/>
      <c r="D40" s="75" t="inlineStr">
        <is>
          <t>2026-09-04</t>
        </is>
      </c>
      <c r="E40" s="75" t="inlineStr"/>
      <c r="F40" s="76" t="inlineStr">
        <is>
          <t>Connect: Sharpen Companion</t>
        </is>
      </c>
    </row>
    <row r="41">
      <c r="A41" s="82" t="inlineStr">
        <is>
          <t>Homework</t>
        </is>
      </c>
      <c r="B41" s="75" t="inlineStr"/>
      <c r="C41" s="75" t="inlineStr"/>
      <c r="D41" s="75" t="inlineStr">
        <is>
          <t>2026-09-09</t>
        </is>
      </c>
      <c r="E41" s="75" t="inlineStr"/>
      <c r="F41" s="76" t="inlineStr">
        <is>
          <t>Connect: Self-Assessment 11.01 - What is my</t>
        </is>
      </c>
    </row>
    <row r="42">
      <c r="A42" s="82" t="inlineStr">
        <is>
          <t>Homework</t>
        </is>
      </c>
      <c r="B42" s="75" t="inlineStr"/>
      <c r="C42" s="75" t="inlineStr"/>
      <c r="D42" s="75" t="inlineStr">
        <is>
          <t>2026-09-09</t>
        </is>
      </c>
      <c r="E42" s="75" t="inlineStr"/>
      <c r="F42" s="76" t="inlineStr">
        <is>
          <t>Connect: Self-Assessment 11.02 - What is my</t>
        </is>
      </c>
    </row>
    <row r="43">
      <c r="A43" s="82" t="inlineStr">
        <is>
          <t>Homework</t>
        </is>
      </c>
      <c r="B43" s="75" t="inlineStr"/>
      <c r="C43" s="75" t="inlineStr"/>
      <c r="D43" s="75" t="inlineStr">
        <is>
          <t>2026-09-16</t>
        </is>
      </c>
      <c r="E43" s="75" t="inlineStr"/>
      <c r="F43" s="76" t="inlineStr">
        <is>
          <t>Connect: Self-Assessment 12.01 - What kind of</t>
        </is>
      </c>
    </row>
    <row r="44">
      <c r="A44" s="82" t="inlineStr">
        <is>
          <t>Homework</t>
        </is>
      </c>
      <c r="B44" s="75" t="inlineStr"/>
      <c r="C44" s="75" t="inlineStr"/>
      <c r="D44" s="75" t="inlineStr">
        <is>
          <t>2026-09-28</t>
        </is>
      </c>
      <c r="E44" s="75" t="inlineStr"/>
      <c r="F44" s="76" t="inlineStr">
        <is>
          <t>Connect: Self-Assessment 10.5 - Preferred Conflict</t>
        </is>
      </c>
    </row>
    <row r="45">
      <c r="A45" s="82" t="inlineStr">
        <is>
          <t>Homework</t>
        </is>
      </c>
      <c r="B45" s="75" t="inlineStr"/>
      <c r="C45" s="75" t="inlineStr"/>
      <c r="D45" s="75" t="inlineStr">
        <is>
          <t>2026-09-28</t>
        </is>
      </c>
      <c r="E45" s="75" t="inlineStr"/>
      <c r="F45" s="76" t="inlineStr">
        <is>
          <t>Connect: Self-Assessment 9.01 - Assessing My</t>
        </is>
      </c>
    </row>
    <row r="46">
      <c r="A46" s="82" t="inlineStr">
        <is>
          <t>Homework</t>
        </is>
      </c>
      <c r="B46" s="75" t="inlineStr"/>
      <c r="C46" s="75" t="inlineStr"/>
      <c r="D46" s="75" t="inlineStr">
        <is>
          <t>2026-10-19</t>
        </is>
      </c>
      <c r="E46" s="75" t="inlineStr"/>
      <c r="F46" s="76" t="inlineStr">
        <is>
          <t>Connect: Self-Assessment 8.01 - Group</t>
        </is>
      </c>
    </row>
    <row r="47">
      <c r="A47" s="82" t="inlineStr">
        <is>
          <t>Homework</t>
        </is>
      </c>
      <c r="B47" s="75" t="inlineStr"/>
      <c r="C47" s="75" t="inlineStr"/>
      <c r="D47" s="75" t="inlineStr">
        <is>
          <t>2026-11-04</t>
        </is>
      </c>
      <c r="E47" s="75" t="inlineStr"/>
      <c r="F47" s="76" t="inlineStr">
        <is>
          <t>Connect: Self-Assessment 14.02 - What Type of Organizational Culture Do I</t>
        </is>
      </c>
    </row>
    <row r="48">
      <c r="A48" s="82" t="inlineStr">
        <is>
          <t>Homework</t>
        </is>
      </c>
      <c r="B48" s="75" t="inlineStr"/>
      <c r="C48" s="75" t="inlineStr"/>
      <c r="D48" s="75" t="inlineStr">
        <is>
          <t>2026-11-30</t>
        </is>
      </c>
      <c r="E48" s="75" t="inlineStr"/>
      <c r="F48" s="76" t="inlineStr">
        <is>
          <t>Connect: Self-Assessment 16.02 - What Is Your</t>
        </is>
      </c>
    </row>
    <row r="49">
      <c r="A49" s="82" t="inlineStr">
        <is>
          <t>Homework</t>
        </is>
      </c>
      <c r="B49" s="75" t="inlineStr"/>
      <c r="C49" s="75" t="inlineStr"/>
      <c r="D49" s="75" t="inlineStr">
        <is>
          <t>2026-11-30</t>
        </is>
      </c>
      <c r="E49" s="75" t="inlineStr"/>
      <c r="F49" s="76" t="inlineStr">
        <is>
          <t>Connect: Self-Assessment 16.03 - Assessing Your</t>
        </is>
      </c>
    </row>
    <row r="50">
      <c r="A50" s="82" t="inlineStr">
        <is>
          <t>Homework</t>
        </is>
      </c>
      <c r="B50" s="75" t="inlineStr"/>
      <c r="C50" s="75" t="inlineStr"/>
      <c r="D50" s="75" t="inlineStr">
        <is>
          <t>2026-12-20</t>
        </is>
      </c>
      <c r="E50" s="75" t="inlineStr"/>
      <c r="F50" s="76" t="inlineStr">
        <is>
          <t>Connect: Self-Assessment 12.02 - Which influence</t>
        </is>
      </c>
    </row>
    <row r="51">
      <c r="A51" s="29" t="inlineStr">
        <is>
          <t>Total</t>
        </is>
      </c>
      <c r="B51" s="83" t="inlineStr">
        <is>
          <t>100%</t>
        </is>
      </c>
    </row>
  </sheetData>
  <mergeCells count="5">
    <mergeCell ref="A2:F2"/>
    <mergeCell ref="B6:F6"/>
    <mergeCell ref="A1:F1"/>
    <mergeCell ref="B8:F8"/>
    <mergeCell ref="A7:F7"/>
  </mergeCells>
  <pageMargins left="0.75" right="0.75" top="1" bottom="1" header="0.5" footer="0.5"/>
</worksheet>
</file>

<file path=xl/worksheets/sheet3.xml><?xml version="1.0" encoding="utf-8"?>
<worksheet xmlns="http://schemas.openxmlformats.org/spreadsheetml/2006/main">
  <sheetPr>
    <tabColor rgb="00FF7F0E"/>
    <outlinePr summaryBelow="1" summaryRight="1"/>
    <pageSetUpPr/>
  </sheetPr>
  <dimension ref="A1:F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48" t="inlineStr">
        <is>
          <t>BUAD-281 — Managerial Accounting</t>
        </is>
      </c>
    </row>
    <row r="2" ht="40" customHeight="1">
      <c r="A2" s="28">
        <f>HYPERLINK("https://raw.githubusercontent.com/vengeanceaiUSC/Syllabus-/cursor/add-syllabus-dissector-skill-a676/output/sources/buad-281-source.pdf","SEE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Group Project</t>
        </is>
      </c>
      <c r="F10" s="51" t="inlineStr">
        <is>
          <t>Details</t>
        </is>
      </c>
    </row>
    <row r="11">
      <c r="A11" s="52" t="inlineStr">
        <is>
          <t>Midterm 1</t>
        </is>
      </c>
      <c r="B11" s="100" t="inlineStr">
        <is>
          <t>250 pts</t>
        </is>
      </c>
      <c r="C11" s="101" t="inlineStr"/>
      <c r="D11" s="101" t="inlineStr">
        <is>
          <t>2026-09-30</t>
        </is>
      </c>
      <c r="E11" s="101" t="inlineStr">
        <is>
          <t>No</t>
        </is>
      </c>
      <c r="F11" s="55">
        <f>HYPERLINK("https://raw.githubusercontent.com/vengeanceaiUSC/Syllabus-/cursor/add-syllabus-dissector-skill-a676/output/documents/buad-281-midterm-1.pdf","Open PDF")</f>
        <v/>
      </c>
    </row>
    <row r="12">
      <c r="A12" s="56" t="inlineStr">
        <is>
          <t>Exam</t>
        </is>
      </c>
      <c r="B12" s="102" t="inlineStr"/>
      <c r="C12" s="102" t="inlineStr"/>
      <c r="D12" s="102" t="inlineStr">
        <is>
          <t>2026-09-30</t>
        </is>
      </c>
      <c r="E12" s="102" t="inlineStr"/>
      <c r="F12" s="58" t="inlineStr">
        <is>
          <t>9/30 Midterm 1: 250 Points Chapters 1, 2, 3, 4, 5, 8</t>
        </is>
      </c>
    </row>
    <row r="13">
      <c r="A13" s="59" t="inlineStr">
        <is>
          <t>Midterm 2</t>
        </is>
      </c>
      <c r="B13" s="100" t="inlineStr">
        <is>
          <t>250 pts</t>
        </is>
      </c>
      <c r="C13" s="103" t="inlineStr"/>
      <c r="D13" s="103" t="inlineStr">
        <is>
          <t>2026-10-26</t>
        </is>
      </c>
      <c r="E13" s="103" t="inlineStr">
        <is>
          <t>No</t>
        </is>
      </c>
      <c r="F13" s="61">
        <f>HYPERLINK("https://raw.githubusercontent.com/vengeanceaiUSC/Syllabus-/cursor/add-syllabus-dissector-skill-a676/output/documents/buad-281-midterm-2.pdf","Open PDF")</f>
        <v/>
      </c>
    </row>
    <row r="14">
      <c r="A14" s="56" t="inlineStr">
        <is>
          <t>Exam</t>
        </is>
      </c>
      <c r="B14" s="102" t="inlineStr"/>
      <c r="C14" s="102" t="inlineStr"/>
      <c r="D14" s="102" t="inlineStr">
        <is>
          <t>2026-10-26</t>
        </is>
      </c>
      <c r="E14" s="102" t="inlineStr"/>
      <c r="F14" s="58" t="inlineStr">
        <is>
          <t>10/26 Midterm 2: 250 Points Chapters 6, 7, 9, &amp; 16</t>
        </is>
      </c>
    </row>
    <row r="15">
      <c r="A15" s="52" t="inlineStr">
        <is>
          <t>Final Exam</t>
        </is>
      </c>
      <c r="B15" s="100" t="inlineStr">
        <is>
          <t>250 pts</t>
        </is>
      </c>
      <c r="C15" s="101" t="inlineStr"/>
      <c r="D15" s="101" t="inlineStr">
        <is>
          <t>2026-12-16</t>
        </is>
      </c>
      <c r="E15" s="101" t="inlineStr">
        <is>
          <t>No</t>
        </is>
      </c>
      <c r="F15" s="55">
        <f>HYPERLINK("https://raw.githubusercontent.com/vengeanceaiUSC/Syllabus-/cursor/add-syllabus-dissector-skill-a676/output/documents/buad-281-final-exam.pdf","Open PDF")</f>
        <v/>
      </c>
    </row>
    <row r="16">
      <c r="A16" s="56" t="inlineStr">
        <is>
          <t>Exam</t>
        </is>
      </c>
      <c r="B16" s="102" t="inlineStr"/>
      <c r="C16" s="102" t="inlineStr"/>
      <c r="D16" s="102" t="inlineStr">
        <is>
          <t>2026-12-16</t>
        </is>
      </c>
      <c r="E16" s="102" t="inlineStr"/>
      <c r="F16" s="58" t="inlineStr">
        <is>
          <t>Final Exam</t>
        </is>
      </c>
    </row>
    <row r="17">
      <c r="A17" s="59" t="inlineStr">
        <is>
          <t>Homework</t>
        </is>
      </c>
      <c r="B17" s="100" t="inlineStr">
        <is>
          <t>170 pts</t>
        </is>
      </c>
      <c r="C17" s="103" t="inlineStr"/>
      <c r="D17" s="103" t="inlineStr">
        <is>
          <t>2026-12-02</t>
        </is>
      </c>
      <c r="E17" s="103" t="inlineStr">
        <is>
          <t>No</t>
        </is>
      </c>
      <c r="F17" s="61">
        <f>HYPERLINK("https://raw.githubusercontent.com/vengeanceaiUSC/Syllabus-/cursor/add-syllabus-dissector-skill-a676/output/documents/buad-281-homework.pdf","Open PDF")</f>
        <v/>
      </c>
    </row>
    <row r="18">
      <c r="A18" s="62" t="inlineStr">
        <is>
          <t>Reading</t>
        </is>
      </c>
      <c r="B18" s="102" t="inlineStr"/>
      <c r="C18" s="102" t="inlineStr"/>
      <c r="D18" s="102" t="inlineStr">
        <is>
          <t>2026-09-09</t>
        </is>
      </c>
      <c r="E18" s="102" t="inlineStr"/>
      <c r="F18" s="58" t="inlineStr">
        <is>
          <t>Class 5 (9/9) - Product Cost Accumulation: Job; Order Co: Chapter 3</t>
        </is>
      </c>
    </row>
    <row r="19">
      <c r="A19" s="63" t="inlineStr">
        <is>
          <t>Homework</t>
        </is>
      </c>
      <c r="B19" s="102" t="inlineStr"/>
      <c r="C19" s="102" t="inlineStr"/>
      <c r="D19" s="102" t="inlineStr">
        <is>
          <t>2026-09-09</t>
        </is>
      </c>
      <c r="E19" s="102" t="inlineStr"/>
      <c r="F19" s="58" t="inlineStr">
        <is>
          <t>Class 5 (9/9) - 2-29, 2-30, 2-40; 15 Points</t>
        </is>
      </c>
    </row>
    <row r="20">
      <c r="A20" s="62" t="inlineStr">
        <is>
          <t>Reading</t>
        </is>
      </c>
      <c r="B20" s="102" t="inlineStr"/>
      <c r="C20" s="102" t="inlineStr"/>
      <c r="D20" s="102" t="inlineStr">
        <is>
          <t>2026-09-16</t>
        </is>
      </c>
      <c r="E20" s="102" t="inlineStr"/>
      <c r="F20" s="58" t="inlineStr">
        <is>
          <t>Class 7 (9/16) - Activity Based Costing: Chapter 5- ONLY; LO 5.1, 2, 4 &amp; 5</t>
        </is>
      </c>
    </row>
    <row r="21">
      <c r="A21" s="63" t="inlineStr">
        <is>
          <t>Homework</t>
        </is>
      </c>
      <c r="B21" s="102" t="inlineStr"/>
      <c r="C21" s="102" t="inlineStr"/>
      <c r="D21" s="102" t="inlineStr">
        <is>
          <t>2026-09-16</t>
        </is>
      </c>
      <c r="E21" s="102" t="inlineStr"/>
      <c r="F21" s="58" t="inlineStr">
        <is>
          <t>Class 7 (9/16) - 3-24, 3-28, 3-32; 15 Points</t>
        </is>
      </c>
    </row>
    <row r="22">
      <c r="A22" s="62" t="inlineStr">
        <is>
          <t>Reading</t>
        </is>
      </c>
      <c r="B22" s="102" t="inlineStr"/>
      <c r="C22" s="102" t="inlineStr"/>
      <c r="D22" s="102" t="inlineStr">
        <is>
          <t>2026-09-21</t>
        </is>
      </c>
      <c r="E22" s="102" t="inlineStr"/>
      <c r="F22" s="58" t="inlineStr">
        <is>
          <t>Class 8 (9/21) - Product Cost Accumulation: Pro-; cess Co: Chapter 4- ONLY; LO 4.1, 3, 4, &amp; 5</t>
        </is>
      </c>
    </row>
    <row r="23">
      <c r="A23" s="63" t="inlineStr">
        <is>
          <t>Homework</t>
        </is>
      </c>
      <c r="B23" s="102" t="inlineStr"/>
      <c r="C23" s="102" t="inlineStr"/>
      <c r="D23" s="102" t="inlineStr">
        <is>
          <t>2026-09-21</t>
        </is>
      </c>
      <c r="E23" s="102" t="inlineStr"/>
      <c r="F23" s="58" t="inlineStr">
        <is>
          <t>Class 8 (9/21) - 5-27 5-46; 10 Points</t>
        </is>
      </c>
    </row>
    <row r="24">
      <c r="A24" s="62" t="inlineStr">
        <is>
          <t>Reading</t>
        </is>
      </c>
      <c r="B24" s="102" t="inlineStr"/>
      <c r="C24" s="102" t="inlineStr"/>
      <c r="D24" s="102" t="inlineStr">
        <is>
          <t>2026-09-23</t>
        </is>
      </c>
      <c r="E24" s="102" t="inlineStr"/>
      <c r="F24" s="58" t="inlineStr">
        <is>
          <t>Class 9 (9/23) - Cost of Quality &amp; ESG &amp;; Overview of; • : Chapter 8 - ONLY; LO 8.7, 8, 9</t>
        </is>
      </c>
    </row>
    <row r="25">
      <c r="A25" s="63" t="inlineStr">
        <is>
          <t>Homework</t>
        </is>
      </c>
      <c r="B25" s="102" t="inlineStr"/>
      <c r="C25" s="102" t="inlineStr"/>
      <c r="D25" s="102" t="inlineStr">
        <is>
          <t>2026-09-23</t>
        </is>
      </c>
      <c r="E25" s="102" t="inlineStr"/>
      <c r="F25" s="58" t="inlineStr">
        <is>
          <t>Class 9 (9/23) - 4-21, 4-22; 10 Points</t>
        </is>
      </c>
    </row>
    <row r="26">
      <c r="A26" s="62" t="inlineStr">
        <is>
          <t>Reading</t>
        </is>
      </c>
      <c r="B26" s="102" t="inlineStr"/>
      <c r="C26" s="102" t="inlineStr"/>
      <c r="D26" s="102" t="inlineStr">
        <is>
          <t>2026-09-28</t>
        </is>
      </c>
      <c r="E26" s="102" t="inlineStr"/>
      <c r="F26" s="58" t="inlineStr">
        <is>
          <t>Class 10 (9/28) - Catchup &amp; Midterm Review</t>
        </is>
      </c>
    </row>
    <row r="27">
      <c r="A27" s="63" t="inlineStr">
        <is>
          <t>Homework</t>
        </is>
      </c>
      <c r="B27" s="102" t="inlineStr"/>
      <c r="C27" s="102" t="inlineStr"/>
      <c r="D27" s="102" t="inlineStr">
        <is>
          <t>2026-09-28</t>
        </is>
      </c>
      <c r="E27" s="102" t="inlineStr"/>
      <c r="F27" s="58" t="inlineStr">
        <is>
          <t>Class 10 (9/28) - 8-28, 8-29; 10 Points</t>
        </is>
      </c>
    </row>
    <row r="28">
      <c r="A28" s="62" t="inlineStr">
        <is>
          <t>Reading</t>
        </is>
      </c>
      <c r="B28" s="102" t="inlineStr"/>
      <c r="C28" s="102" t="inlineStr"/>
      <c r="D28" s="102" t="inlineStr">
        <is>
          <t>2026-10-07</t>
        </is>
      </c>
      <c r="E28" s="102" t="inlineStr"/>
      <c r="F28" s="58" t="inlineStr">
        <is>
          <t>Class 12 (10/7) - Cost volume profit analysis: Chapter 7</t>
        </is>
      </c>
    </row>
    <row r="29">
      <c r="A29" s="63" t="inlineStr">
        <is>
          <t>Homework</t>
        </is>
      </c>
      <c r="B29" s="102" t="inlineStr"/>
      <c r="C29" s="102" t="inlineStr"/>
      <c r="D29" s="102" t="inlineStr">
        <is>
          <t>2026-10-07</t>
        </is>
      </c>
      <c r="E29" s="102" t="inlineStr"/>
      <c r="F29" s="58" t="inlineStr">
        <is>
          <t>Class 12 (10/7) - 6-24, 6-25, 6-34; 15 Points</t>
        </is>
      </c>
    </row>
    <row r="30">
      <c r="A30" s="62" t="inlineStr">
        <is>
          <t>Reading</t>
        </is>
      </c>
      <c r="B30" s="102" t="inlineStr"/>
      <c r="C30" s="102" t="inlineStr"/>
      <c r="D30" s="102" t="inlineStr">
        <is>
          <t>2026-10-14</t>
        </is>
      </c>
      <c r="E30" s="102" t="inlineStr"/>
      <c r="F30" s="58" t="inlineStr">
        <is>
          <t>Class 14 (10/14) - Financial planning and analysis:; Static: Chapter 9</t>
        </is>
      </c>
    </row>
    <row r="31">
      <c r="A31" s="63" t="inlineStr">
        <is>
          <t>Homework</t>
        </is>
      </c>
      <c r="B31" s="102" t="inlineStr"/>
      <c r="C31" s="102" t="inlineStr"/>
      <c r="D31" s="102" t="inlineStr">
        <is>
          <t>2026-10-14</t>
        </is>
      </c>
      <c r="E31" s="102" t="inlineStr"/>
      <c r="F31" s="58" t="inlineStr">
        <is>
          <t>Class 14 (10/14) - 7-29, 7-33, 7-40; 15 Points</t>
        </is>
      </c>
    </row>
    <row r="32">
      <c r="A32" s="62" t="inlineStr">
        <is>
          <t>Reading</t>
        </is>
      </c>
      <c r="B32" s="102" t="inlineStr"/>
      <c r="C32" s="102" t="inlineStr"/>
      <c r="D32" s="102" t="inlineStr">
        <is>
          <t>2026-10-19</t>
        </is>
      </c>
      <c r="E32" s="102" t="inlineStr"/>
      <c r="F32" s="58" t="inlineStr">
        <is>
          <t>Class 15 (10/19) - Capital Budgeting; Practice Midterm Ques: Chapter 16- ONLY; LO 16.1, 2, 3</t>
        </is>
      </c>
    </row>
    <row r="33">
      <c r="A33" s="63" t="inlineStr">
        <is>
          <t>Homework</t>
        </is>
      </c>
      <c r="B33" s="102" t="inlineStr"/>
      <c r="C33" s="102" t="inlineStr"/>
      <c r="D33" s="102" t="inlineStr">
        <is>
          <t>2026-10-19</t>
        </is>
      </c>
      <c r="E33" s="102" t="inlineStr"/>
      <c r="F33" s="58" t="inlineStr">
        <is>
          <t>Class 15 (10/19) - 9-25, 9-28, 9-37; 15 - Points</t>
        </is>
      </c>
    </row>
    <row r="34">
      <c r="A34" s="62" t="inlineStr">
        <is>
          <t>Reading</t>
        </is>
      </c>
      <c r="B34" s="102" t="inlineStr"/>
      <c r="C34" s="102" t="inlineStr"/>
      <c r="D34" s="102" t="inlineStr">
        <is>
          <t>2026-10-21</t>
        </is>
      </c>
      <c r="E34" s="102" t="inlineStr"/>
      <c r="F34" s="58" t="inlineStr">
        <is>
          <t>Class 16 (10/21) - Catchup &amp; Midterm Review</t>
        </is>
      </c>
    </row>
    <row r="35">
      <c r="A35" s="63" t="inlineStr">
        <is>
          <t>Homework</t>
        </is>
      </c>
      <c r="B35" s="102" t="inlineStr"/>
      <c r="C35" s="102" t="inlineStr"/>
      <c r="D35" s="102" t="inlineStr">
        <is>
          <t>2026-10-21</t>
        </is>
      </c>
      <c r="E35" s="102" t="inlineStr"/>
      <c r="F35" s="58" t="inlineStr">
        <is>
          <t>Class 16 (10/21) - 16-28, 16-40; 10 Points</t>
        </is>
      </c>
    </row>
    <row r="36">
      <c r="A36" s="62" t="inlineStr">
        <is>
          <t>Reading</t>
        </is>
      </c>
      <c r="B36" s="102" t="inlineStr"/>
      <c r="C36" s="102" t="inlineStr"/>
      <c r="D36" s="102" t="inlineStr">
        <is>
          <t>2026-11-04</t>
        </is>
      </c>
      <c r="E36" s="102" t="inlineStr"/>
      <c r="F36" s="58" t="inlineStr">
        <is>
          <t>Class 19 (11/4) - Sales Variance Analysis; Flexible Budget: Chapter 11 - ONLY; LO 11.1, 11.2 &amp;; Appendix B</t>
        </is>
      </c>
    </row>
    <row r="37">
      <c r="A37" s="63" t="inlineStr">
        <is>
          <t>Homework</t>
        </is>
      </c>
      <c r="B37" s="102" t="inlineStr"/>
      <c r="C37" s="102" t="inlineStr"/>
      <c r="D37" s="102" t="inlineStr">
        <is>
          <t>2026-11-04</t>
        </is>
      </c>
      <c r="E37" s="102" t="inlineStr"/>
      <c r="F37" s="58" t="inlineStr">
        <is>
          <t>Class 19 (11/4) - 10-26, 10-30; 10 Points</t>
        </is>
      </c>
    </row>
    <row r="38">
      <c r="A38" s="62" t="inlineStr">
        <is>
          <t>Reading</t>
        </is>
      </c>
      <c r="B38" s="102" t="inlineStr"/>
      <c r="C38" s="102" t="inlineStr"/>
      <c r="D38" s="102" t="inlineStr">
        <is>
          <t>2026-11-09</t>
        </is>
      </c>
      <c r="E38" s="102" t="inlineStr"/>
      <c r="F38" s="58" t="inlineStr">
        <is>
          <t>Class 20 (11/9) - Investment Centers: Chapter 13- ONLY; LO 13-1, 2, 3, 4</t>
        </is>
      </c>
    </row>
    <row r="39">
      <c r="A39" s="63" t="inlineStr">
        <is>
          <t>Homework</t>
        </is>
      </c>
      <c r="B39" s="102" t="inlineStr"/>
      <c r="C39" s="102" t="inlineStr"/>
      <c r="D39" s="102" t="inlineStr">
        <is>
          <t>2026-11-09</t>
        </is>
      </c>
      <c r="E39" s="102" t="inlineStr"/>
      <c r="F39" s="58" t="inlineStr">
        <is>
          <t>Class 20 (11/9) - 11-31, 11-52; 10 Points</t>
        </is>
      </c>
    </row>
    <row r="40">
      <c r="A40" s="62" t="inlineStr">
        <is>
          <t>Reading</t>
        </is>
      </c>
      <c r="B40" s="102" t="inlineStr"/>
      <c r="C40" s="102" t="inlineStr"/>
      <c r="D40" s="102" t="inlineStr">
        <is>
          <t>2026-11-16</t>
        </is>
      </c>
      <c r="E40" s="102" t="inlineStr"/>
      <c r="F40" s="58" t="inlineStr">
        <is>
          <t>Class 21 (11/16) - AI &amp; FP&amp;A</t>
        </is>
      </c>
    </row>
    <row r="41">
      <c r="A41" s="63" t="inlineStr">
        <is>
          <t>Homework</t>
        </is>
      </c>
      <c r="B41" s="102" t="inlineStr"/>
      <c r="C41" s="102" t="inlineStr"/>
      <c r="D41" s="102" t="inlineStr">
        <is>
          <t>2026-11-16</t>
        </is>
      </c>
      <c r="E41" s="102" t="inlineStr"/>
      <c r="F41" s="58" t="inlineStr">
        <is>
          <t>Class 21 (11/16) - 13-29, 13-33; 10 Points</t>
        </is>
      </c>
    </row>
    <row r="42">
      <c r="A42" s="62" t="inlineStr">
        <is>
          <t>Reading</t>
        </is>
      </c>
      <c r="B42" s="102" t="inlineStr"/>
      <c r="C42" s="102" t="inlineStr"/>
      <c r="D42" s="102" t="inlineStr">
        <is>
          <t>2026-12-02</t>
        </is>
      </c>
      <c r="E42" s="102" t="inlineStr"/>
      <c r="F42" s="58" t="inlineStr">
        <is>
          <t>Class 2 (12/2) - Catchup &amp; Final Review; Practice Final Questions Posted to Brightspace at; 5:00 PM</t>
        </is>
      </c>
    </row>
    <row r="43">
      <c r="A43" s="63" t="inlineStr">
        <is>
          <t>Homework</t>
        </is>
      </c>
      <c r="B43" s="102" t="inlineStr"/>
      <c r="C43" s="102" t="inlineStr"/>
      <c r="D43" s="102" t="inlineStr">
        <is>
          <t>2026-12-02</t>
        </is>
      </c>
      <c r="E43" s="102" t="inlineStr"/>
      <c r="F43" s="58" t="inlineStr">
        <is>
          <t>Class 2 (12/2) - 14-35, 14-41; 10 Points; Assignments listed Be-; low Due by11:59 PM; Linked In Learning; E</t>
        </is>
      </c>
    </row>
    <row r="44">
      <c r="A44" s="52" t="inlineStr">
        <is>
          <t>LinkedIn Learning Excel Certification</t>
        </is>
      </c>
      <c r="B44" s="100" t="inlineStr">
        <is>
          <t>75 pts</t>
        </is>
      </c>
      <c r="C44" s="101" t="inlineStr">
        <is>
          <t>2026-09-23</t>
        </is>
      </c>
      <c r="D44" s="101" t="inlineStr">
        <is>
          <t>2026-12-02</t>
        </is>
      </c>
      <c r="E44" s="101" t="inlineStr">
        <is>
          <t>No</t>
        </is>
      </c>
      <c r="F44" s="55">
        <f>HYPERLINK("https://raw.githubusercontent.com/vengeanceaiUSC/Syllabus-/cursor/add-syllabus-dissector-skill-a676/output/documents/buad-281-linkedin-learning-excel-certification.pdf","Open PDF")</f>
        <v/>
      </c>
    </row>
    <row r="45">
      <c r="A45" s="64" t="inlineStr">
        <is>
          <t>Certification</t>
        </is>
      </c>
      <c r="B45" s="102" t="inlineStr"/>
      <c r="C45" s="102" t="inlineStr">
        <is>
          <t>2026-09-23</t>
        </is>
      </c>
      <c r="D45" s="102" t="inlineStr">
        <is>
          <t>2026-12-02</t>
        </is>
      </c>
      <c r="E45" s="102" t="inlineStr"/>
      <c r="F45" s="58" t="inlineStr">
        <is>
          <t>LinkedIn Learning Excel Certification</t>
        </is>
      </c>
    </row>
    <row r="46">
      <c r="A46" s="59" t="inlineStr">
        <is>
          <t>Stukent Simternship</t>
        </is>
      </c>
      <c r="B46" s="100" t="inlineStr">
        <is>
          <t>75 pts</t>
        </is>
      </c>
      <c r="C46" s="103" t="inlineStr">
        <is>
          <t>2026-09-23</t>
        </is>
      </c>
      <c r="D46" s="103" t="inlineStr">
        <is>
          <t>2026-12-02</t>
        </is>
      </c>
      <c r="E46" s="103" t="inlineStr">
        <is>
          <t>No</t>
        </is>
      </c>
      <c r="F46" s="61">
        <f>HYPERLINK("https://raw.githubusercontent.com/vengeanceaiUSC/Syllabus-/cursor/add-syllabus-dissector-skill-a676/output/documents/buad-281-stukent-simternship.pdf","Open PDF")</f>
        <v/>
      </c>
    </row>
    <row r="47">
      <c r="A47" s="64" t="inlineStr">
        <is>
          <t>Certification</t>
        </is>
      </c>
      <c r="B47" s="102" t="inlineStr"/>
      <c r="C47" s="102" t="inlineStr">
        <is>
          <t>2026-09-23</t>
        </is>
      </c>
      <c r="D47" s="102" t="inlineStr">
        <is>
          <t>2026-12-02</t>
        </is>
      </c>
      <c r="E47" s="102" t="inlineStr"/>
      <c r="F47" s="58" t="inlineStr">
        <is>
          <t>Stukent Simternship</t>
        </is>
      </c>
    </row>
    <row r="48">
      <c r="A48" s="29" t="inlineStr">
        <is>
          <t>Total</t>
        </is>
      </c>
      <c r="B48" s="65" t="inlineStr">
        <is>
          <t>1070 pts</t>
        </is>
      </c>
    </row>
  </sheetData>
  <mergeCells count="5">
    <mergeCell ref="A2:F2"/>
    <mergeCell ref="B6:F6"/>
    <mergeCell ref="A1:F1"/>
    <mergeCell ref="B8:F8"/>
    <mergeCell ref="A7:F7"/>
  </mergeCells>
  <pageMargins left="0.75" right="0.75" top="1" bottom="1" header="0.5" footer="0.5"/>
</worksheet>
</file>

<file path=xl/worksheets/sheet4.xml><?xml version="1.0" encoding="utf-8"?>
<worksheet xmlns="http://schemas.openxmlformats.org/spreadsheetml/2006/main">
  <sheetPr>
    <tabColor rgb="00D62728"/>
    <outlinePr summaryBelow="1" summaryRight="1"/>
    <pageSetUpPr/>
  </sheetPr>
  <dimension ref="A1:F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27" t="inlineStr">
        <is>
          <t>HIST-103 — The Emergence of Modern Europe</t>
        </is>
      </c>
    </row>
    <row r="2" ht="40" customHeight="1">
      <c r="A2" s="28">
        <f>HYPERLINK("https://raw.githubusercontent.com/vengeanceaiUSC/Syllabus-/cursor/add-syllabus-dissector-skill-a676/output/sources/hist-103-source.pdf","SEE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Group Project</t>
        </is>
      </c>
      <c r="F9" s="32" t="inlineStr">
        <is>
          <t>Details</t>
        </is>
      </c>
    </row>
    <row r="10">
      <c r="A10" s="33" t="inlineStr">
        <is>
          <t>Sleep Paper</t>
        </is>
      </c>
      <c r="B10" s="116" t="inlineStr">
        <is>
          <t>20%</t>
        </is>
      </c>
      <c r="C10" s="117" t="inlineStr"/>
      <c r="D10" s="117" t="inlineStr">
        <is>
          <t>2026-09-15</t>
        </is>
      </c>
      <c r="E10" s="117" t="inlineStr">
        <is>
          <t>No</t>
        </is>
      </c>
      <c r="F10" s="36">
        <f>HYPERLINK("https://raw.githubusercontent.com/vengeanceaiUSC/Syllabus-/cursor/add-syllabus-dissector-skill-a676/output/documents/hist-103-sleep-paper.pdf","Open PDF")</f>
        <v/>
      </c>
    </row>
    <row r="11">
      <c r="A11" s="37" t="inlineStr">
        <is>
          <t>Assignment</t>
        </is>
      </c>
      <c r="B11" s="118" t="inlineStr"/>
      <c r="C11" s="118" t="inlineStr"/>
      <c r="D11" s="118" t="inlineStr">
        <is>
          <t>2026-09-15</t>
        </is>
      </c>
      <c r="E11" s="118" t="inlineStr"/>
      <c r="F11" s="39" t="inlineStr">
        <is>
          <t>Sleep Paper Due</t>
        </is>
      </c>
    </row>
    <row r="12">
      <c r="A12" s="40" t="inlineStr">
        <is>
          <t>Witchcraft Paper</t>
        </is>
      </c>
      <c r="B12" s="116" t="inlineStr">
        <is>
          <t>20%</t>
        </is>
      </c>
      <c r="C12" s="119" t="inlineStr"/>
      <c r="D12" s="119" t="inlineStr">
        <is>
          <t>2026-11-10</t>
        </is>
      </c>
      <c r="E12" s="119" t="inlineStr">
        <is>
          <t>No</t>
        </is>
      </c>
      <c r="F12" s="42">
        <f>HYPERLINK("https://raw.githubusercontent.com/vengeanceaiUSC/Syllabus-/cursor/add-syllabus-dissector-skill-a676/output/documents/hist-103-witchcraft-paper.pdf","Open PDF")</f>
        <v/>
      </c>
    </row>
    <row r="13">
      <c r="A13" s="37" t="inlineStr">
        <is>
          <t>Assignment</t>
        </is>
      </c>
      <c r="B13" s="118" t="inlineStr"/>
      <c r="C13" s="118" t="inlineStr"/>
      <c r="D13" s="118" t="inlineStr">
        <is>
          <t>2026-11-10</t>
        </is>
      </c>
      <c r="E13" s="118" t="inlineStr"/>
      <c r="F13" s="39" t="inlineStr">
        <is>
          <t>Witchcraft Paper Due</t>
        </is>
      </c>
    </row>
    <row r="14">
      <c r="A14" s="33" t="inlineStr">
        <is>
          <t>Mid-term</t>
        </is>
      </c>
      <c r="B14" s="116" t="inlineStr">
        <is>
          <t>20%</t>
        </is>
      </c>
      <c r="C14" s="117" t="inlineStr"/>
      <c r="D14" s="117" t="inlineStr">
        <is>
          <t>2026-10-09</t>
        </is>
      </c>
      <c r="E14" s="117" t="inlineStr">
        <is>
          <t>No</t>
        </is>
      </c>
      <c r="F14" s="36">
        <f>HYPERLINK("https://raw.githubusercontent.com/vengeanceaiUSC/Syllabus-/cursor/add-syllabus-dissector-skill-a676/output/documents/hist-103-mid-term.pdf","Open PDF")</f>
        <v/>
      </c>
    </row>
    <row r="15">
      <c r="A15" s="43" t="inlineStr">
        <is>
          <t>Exam</t>
        </is>
      </c>
      <c r="B15" s="118" t="inlineStr"/>
      <c r="C15" s="118" t="inlineStr"/>
      <c r="D15" s="118" t="inlineStr">
        <is>
          <t>2026-10-06</t>
        </is>
      </c>
      <c r="E15" s="118" t="inlineStr"/>
      <c r="F15" s="39" t="inlineStr">
        <is>
          <t>Midterm Exam</t>
        </is>
      </c>
    </row>
    <row r="16">
      <c r="A16" s="40" t="inlineStr">
        <is>
          <t>Final Exam</t>
        </is>
      </c>
      <c r="B16" s="116" t="inlineStr">
        <is>
          <t>20%</t>
        </is>
      </c>
      <c r="C16" s="119" t="inlineStr"/>
      <c r="D16" s="119" t="inlineStr">
        <is>
          <t>2026-09-17</t>
        </is>
      </c>
      <c r="E16" s="119" t="inlineStr">
        <is>
          <t>No</t>
        </is>
      </c>
      <c r="F16" s="42">
        <f>HYPERLINK("https://raw.githubusercontent.com/vengeanceaiUSC/Syllabus-/cursor/add-syllabus-dissector-skill-a676/output/documents/hist-103-final-exam.pdf","Open PDF")</f>
        <v/>
      </c>
    </row>
    <row r="17">
      <c r="A17" s="43" t="inlineStr">
        <is>
          <t>Exam</t>
        </is>
      </c>
      <c r="B17" s="118" t="inlineStr"/>
      <c r="C17" s="118" t="inlineStr"/>
      <c r="D17" s="118" t="inlineStr">
        <is>
          <t>2026-12-10</t>
        </is>
      </c>
      <c r="E17" s="118" t="inlineStr"/>
      <c r="F17" s="39" t="inlineStr">
        <is>
          <t>Final Exam</t>
        </is>
      </c>
    </row>
    <row r="18">
      <c r="A18" s="33" t="inlineStr">
        <is>
          <t>Discussion Section</t>
        </is>
      </c>
      <c r="B18" s="116" t="inlineStr">
        <is>
          <t>15%</t>
        </is>
      </c>
      <c r="C18" s="117" t="inlineStr"/>
      <c r="D18" s="117" t="inlineStr">
        <is>
          <t>2026-11-12</t>
        </is>
      </c>
      <c r="E18" s="117" t="inlineStr">
        <is>
          <t>Yes</t>
        </is>
      </c>
      <c r="F18" s="36">
        <f>HYPERLINK("https://raw.githubusercontent.com/vengeanceaiUSC/Syllabus-/cursor/add-syllabus-dissector-skill-a676/output/documents/hist-103-discussion-section.pdf","Open PDF")</f>
        <v/>
      </c>
    </row>
    <row r="19">
      <c r="A19" s="44" t="inlineStr">
        <is>
          <t>Reading</t>
        </is>
      </c>
      <c r="B19" s="118" t="inlineStr"/>
      <c r="C19" s="118" t="inlineStr">
        <is>
          <t>2026-08-25</t>
        </is>
      </c>
      <c r="D19" s="118" t="inlineStr">
        <is>
          <t>2026-08-29</t>
        </is>
      </c>
      <c r="E19" s="118" t="inlineStr"/>
      <c r="F19" s="39" t="inlineStr">
        <is>
          <t>Week Aug 25-29: Intro &amp; Black Death</t>
        </is>
      </c>
    </row>
    <row r="20">
      <c r="A20" s="44" t="inlineStr">
        <is>
          <t>Reading</t>
        </is>
      </c>
      <c r="B20" s="118" t="inlineStr"/>
      <c r="C20" s="118" t="inlineStr">
        <is>
          <t>2026-08-25</t>
        </is>
      </c>
      <c r="D20" s="118" t="inlineStr">
        <is>
          <t>2026-08-29</t>
        </is>
      </c>
      <c r="E20" s="118" t="inlineStr"/>
      <c r="F20" s="39" t="inlineStr">
        <is>
          <t>Week Aug 25-29: Intro &amp; Black Death - Section reading 1: Lizzie Wade, “From Black Death to fatal flu, past pandemics sho</t>
        </is>
      </c>
    </row>
    <row r="21">
      <c r="A21" s="44" t="inlineStr">
        <is>
          <t>Reading</t>
        </is>
      </c>
      <c r="B21" s="118" t="inlineStr"/>
      <c r="C21" s="118" t="inlineStr">
        <is>
          <t>2026-09-01</t>
        </is>
      </c>
      <c r="D21" s="118" t="inlineStr">
        <is>
          <t>2026-09-04</t>
        </is>
      </c>
      <c r="E21" s="118" t="inlineStr"/>
      <c r="F21" s="39" t="inlineStr">
        <is>
          <t>Week Sep 1-4: Everyday Life</t>
        </is>
      </c>
    </row>
    <row r="22">
      <c r="A22" s="44" t="inlineStr">
        <is>
          <t>Reading</t>
        </is>
      </c>
      <c r="B22" s="118" t="inlineStr"/>
      <c r="C22" s="118" t="inlineStr">
        <is>
          <t>2026-09-01</t>
        </is>
      </c>
      <c r="D22" s="118" t="inlineStr">
        <is>
          <t>2026-09-04</t>
        </is>
      </c>
      <c r="E22" s="118" t="inlineStr"/>
      <c r="F22" s="39" t="inlineStr">
        <is>
          <t>Week Sep 1-4: Everyday Life - Section reading 1: A Roger Ekirch, “Sleep we have lost: Pre-Industrial Slumber in the Brit</t>
        </is>
      </c>
    </row>
    <row r="23">
      <c r="A23" s="44" t="inlineStr">
        <is>
          <t>Reading</t>
        </is>
      </c>
      <c r="B23" s="118" t="inlineStr"/>
      <c r="C23" s="118" t="inlineStr">
        <is>
          <t>2026-09-08</t>
        </is>
      </c>
      <c r="D23" s="118" t="inlineStr">
        <is>
          <t>2026-09-11</t>
        </is>
      </c>
      <c r="E23" s="118" t="inlineStr"/>
      <c r="F23" s="39" t="inlineStr">
        <is>
          <t>Week Sep 8-11: Renaissance</t>
        </is>
      </c>
    </row>
    <row r="24">
      <c r="A24" s="44" t="inlineStr">
        <is>
          <t>Reading</t>
        </is>
      </c>
      <c r="B24" s="118" t="inlineStr"/>
      <c r="C24" s="118" t="inlineStr">
        <is>
          <t>2026-09-08</t>
        </is>
      </c>
      <c r="D24" s="118" t="inlineStr">
        <is>
          <t>2026-09-11</t>
        </is>
      </c>
      <c r="E24" s="118" t="inlineStr"/>
      <c r="F24" s="39" t="inlineStr">
        <is>
          <t>Week Sep 8-11: Renaissance - Section reading 1: Kay Daly, “Diverting the Flood of History: Ada Palmer’s Inventing the Re</t>
        </is>
      </c>
    </row>
    <row r="25">
      <c r="A25" s="44" t="inlineStr">
        <is>
          <t>Reading</t>
        </is>
      </c>
      <c r="B25" s="118" t="inlineStr"/>
      <c r="C25" s="118" t="inlineStr">
        <is>
          <t>2026-09-15</t>
        </is>
      </c>
      <c r="D25" s="118" t="inlineStr">
        <is>
          <t>2026-09-18</t>
        </is>
      </c>
      <c r="E25" s="118" t="inlineStr"/>
      <c r="F25" s="39" t="inlineStr">
        <is>
          <t>Week Sep 15-18: Renaissance</t>
        </is>
      </c>
    </row>
    <row r="26">
      <c r="A26" s="44" t="inlineStr">
        <is>
          <t>Reading</t>
        </is>
      </c>
      <c r="B26" s="118" t="inlineStr"/>
      <c r="C26" s="118" t="inlineStr">
        <is>
          <t>2026-09-15</t>
        </is>
      </c>
      <c r="D26" s="118" t="inlineStr">
        <is>
          <t>2026-09-18</t>
        </is>
      </c>
      <c r="E26" s="118" t="inlineStr"/>
      <c r="F26" s="39" t="inlineStr">
        <is>
          <t>Week Sep 15-18: Renaissance - Section reading 1: Vasari, Lives of the Artists: Leonardo da Vinci &amp; Properzia de’ Rossi V</t>
        </is>
      </c>
    </row>
    <row r="27">
      <c r="A27" s="44" t="inlineStr">
        <is>
          <t>Reading</t>
        </is>
      </c>
      <c r="B27" s="118" t="inlineStr"/>
      <c r="C27" s="118" t="inlineStr">
        <is>
          <t>2026-09-20</t>
        </is>
      </c>
      <c r="D27" s="118" t="inlineStr">
        <is>
          <t>2026-09-24</t>
        </is>
      </c>
      <c r="E27" s="118" t="inlineStr"/>
      <c r="F27" s="39" t="inlineStr">
        <is>
          <t>Week Sep 20-24: European Expansion</t>
        </is>
      </c>
    </row>
    <row r="28">
      <c r="A28" s="44" t="inlineStr">
        <is>
          <t>Reading</t>
        </is>
      </c>
      <c r="B28" s="118" t="inlineStr"/>
      <c r="C28" s="118" t="inlineStr">
        <is>
          <t>2026-09-20</t>
        </is>
      </c>
      <c r="D28" s="118" t="inlineStr">
        <is>
          <t>2026-09-24</t>
        </is>
      </c>
      <c r="E28" s="118" t="inlineStr"/>
      <c r="F28" s="39" t="inlineStr">
        <is>
          <t>Week Sep 20-24: European Expansion - Section reading 1: Jerry Brotton, The Renaissance Bazaar, Chap 1 (15 pgs) Read Colu</t>
        </is>
      </c>
    </row>
    <row r="29">
      <c r="A29" s="44" t="inlineStr">
        <is>
          <t>Reading</t>
        </is>
      </c>
      <c r="B29" s="118" t="inlineStr"/>
      <c r="C29" s="118" t="inlineStr">
        <is>
          <t>2026-09-20</t>
        </is>
      </c>
      <c r="D29" s="118" t="inlineStr">
        <is>
          <t>2026-09-24</t>
        </is>
      </c>
      <c r="E29" s="118" t="inlineStr"/>
      <c r="F29" s="39" t="inlineStr">
        <is>
          <t>Week Sep 20-24: European Expansion - Section reading 2: Bernal Diaz del Castillo, The True History of the Conquest of Ne</t>
        </is>
      </c>
    </row>
    <row r="30">
      <c r="A30" s="44" t="inlineStr">
        <is>
          <t>Reading</t>
        </is>
      </c>
      <c r="B30" s="118" t="inlineStr"/>
      <c r="C30" s="118" t="inlineStr">
        <is>
          <t>2026-10-06</t>
        </is>
      </c>
      <c r="D30" s="118" t="inlineStr">
        <is>
          <t>2026-10-09</t>
        </is>
      </c>
      <c r="E30" s="118" t="inlineStr"/>
      <c r="F30" s="39" t="inlineStr">
        <is>
          <t>Week Oct 6-9: Midterm &amp; Break</t>
        </is>
      </c>
    </row>
    <row r="31">
      <c r="A31" s="44" t="inlineStr">
        <is>
          <t>Reading</t>
        </is>
      </c>
      <c r="B31" s="118" t="inlineStr"/>
      <c r="C31" s="118" t="inlineStr">
        <is>
          <t>2026-10-13</t>
        </is>
      </c>
      <c r="D31" s="118" t="inlineStr">
        <is>
          <t>2026-10-16</t>
        </is>
      </c>
      <c r="E31" s="118" t="inlineStr"/>
      <c r="F31" s="39" t="inlineStr">
        <is>
          <t>Week Oct 13-16: The Reformation</t>
        </is>
      </c>
    </row>
    <row r="32">
      <c r="A32" s="44" t="inlineStr">
        <is>
          <t>Reading</t>
        </is>
      </c>
      <c r="B32" s="118" t="inlineStr"/>
      <c r="C32" s="118" t="inlineStr">
        <is>
          <t>2026-10-20</t>
        </is>
      </c>
      <c r="D32" s="118" t="inlineStr">
        <is>
          <t>2026-10-23</t>
        </is>
      </c>
      <c r="E32" s="118" t="inlineStr"/>
      <c r="F32" s="39" t="inlineStr">
        <is>
          <t>Week Oct 20-23: The Reformation</t>
        </is>
      </c>
    </row>
    <row r="33">
      <c r="A33" s="44" t="inlineStr">
        <is>
          <t>Reading</t>
        </is>
      </c>
      <c r="B33" s="118" t="inlineStr"/>
      <c r="C33" s="118" t="inlineStr">
        <is>
          <t>2026-10-27</t>
        </is>
      </c>
      <c r="D33" s="118" t="inlineStr">
        <is>
          <t>2026-10-30</t>
        </is>
      </c>
      <c r="E33" s="118" t="inlineStr"/>
      <c r="F33" s="39" t="inlineStr">
        <is>
          <t>Week Oct 27-30: Reformation</t>
        </is>
      </c>
    </row>
    <row r="34">
      <c r="A34" s="44" t="inlineStr">
        <is>
          <t>Reading</t>
        </is>
      </c>
      <c r="B34" s="118" t="inlineStr"/>
      <c r="C34" s="118" t="inlineStr">
        <is>
          <t>2026-10-27</t>
        </is>
      </c>
      <c r="D34" s="118" t="inlineStr">
        <is>
          <t>2026-10-30</t>
        </is>
      </c>
      <c r="E34" s="118" t="inlineStr"/>
      <c r="F34" s="39" t="inlineStr">
        <is>
          <t xml:space="preserve">Week Oct 27-30: Reformation - Section reading 1: Barbara Diefendorf, ed., The Saint Bartholomew’s Day Massacre: A Brief </t>
        </is>
      </c>
    </row>
    <row r="35">
      <c r="A35" s="44" t="inlineStr">
        <is>
          <t>Reading</t>
        </is>
      </c>
      <c r="B35" s="118" t="inlineStr"/>
      <c r="C35" s="118" t="inlineStr">
        <is>
          <t>2026-11-03</t>
        </is>
      </c>
      <c r="D35" s="118" t="inlineStr">
        <is>
          <t>2026-11-06</t>
        </is>
      </c>
      <c r="E35" s="118" t="inlineStr"/>
      <c r="F35" s="39" t="inlineStr">
        <is>
          <t>Week Nov 3-6: Witches &amp; Science</t>
        </is>
      </c>
    </row>
    <row r="36">
      <c r="A36" s="44" t="inlineStr">
        <is>
          <t>Reading</t>
        </is>
      </c>
      <c r="B36" s="118" t="inlineStr"/>
      <c r="C36" s="118" t="inlineStr">
        <is>
          <t>2026-11-03</t>
        </is>
      </c>
      <c r="D36" s="118" t="inlineStr">
        <is>
          <t>2026-11-06</t>
        </is>
      </c>
      <c r="E36" s="118" t="inlineStr"/>
      <c r="F36" s="39" t="inlineStr">
        <is>
          <t>Week Nov 3-6: Witches &amp; Science - Section reading 1: Brian Levack, The Witchcraft Sourcebook, Chaps 36-44, 46-47</t>
        </is>
      </c>
    </row>
    <row r="37">
      <c r="A37" s="44" t="inlineStr">
        <is>
          <t>Reading</t>
        </is>
      </c>
      <c r="B37" s="118" t="inlineStr"/>
      <c r="C37" s="118" t="inlineStr">
        <is>
          <t>2026-11-10</t>
        </is>
      </c>
      <c r="D37" s="118" t="inlineStr">
        <is>
          <t>2026-11-13</t>
        </is>
      </c>
      <c r="E37" s="118" t="inlineStr"/>
      <c r="F37" s="39" t="inlineStr">
        <is>
          <t>Week Nov 10-13: Enlightenment</t>
        </is>
      </c>
    </row>
    <row r="38">
      <c r="A38" s="44" t="inlineStr">
        <is>
          <t>Reading</t>
        </is>
      </c>
      <c r="B38" s="118" t="inlineStr"/>
      <c r="C38" s="118" t="inlineStr">
        <is>
          <t>2026-11-10</t>
        </is>
      </c>
      <c r="D38" s="118" t="inlineStr">
        <is>
          <t>2026-11-13</t>
        </is>
      </c>
      <c r="E38" s="118" t="inlineStr"/>
      <c r="F38" s="39" t="inlineStr">
        <is>
          <t>Week Nov 10-13: Enlightenment - Section reading 1: Excerpt: John Locke, Two Treatises of Government (1689) Excerpt: Rous</t>
        </is>
      </c>
    </row>
    <row r="39">
      <c r="A39" s="44" t="inlineStr">
        <is>
          <t>Reading</t>
        </is>
      </c>
      <c r="B39" s="118" t="inlineStr"/>
      <c r="C39" s="118" t="inlineStr">
        <is>
          <t>2026-11-17</t>
        </is>
      </c>
      <c r="D39" s="118" t="inlineStr">
        <is>
          <t>2026-11-20</t>
        </is>
      </c>
      <c r="E39" s="118" t="inlineStr"/>
      <c r="F39" s="39" t="inlineStr">
        <is>
          <t>Week Nov 17-20: Enlightenment</t>
        </is>
      </c>
    </row>
    <row r="40">
      <c r="A40" s="44" t="inlineStr">
        <is>
          <t>Reading</t>
        </is>
      </c>
      <c r="B40" s="118" t="inlineStr"/>
      <c r="C40" s="118" t="inlineStr">
        <is>
          <t>2026-11-17</t>
        </is>
      </c>
      <c r="D40" s="118" t="inlineStr">
        <is>
          <t>2026-11-20</t>
        </is>
      </c>
      <c r="E40" s="118" t="inlineStr"/>
      <c r="F40" s="39" t="inlineStr">
        <is>
          <t xml:space="preserve">Week Nov 17-20: Enlightenment - Section reading 1: Video: Africa &amp; Britain, A Forgotten History, Episode 2: Freedom (50 </t>
        </is>
      </c>
    </row>
    <row r="41">
      <c r="A41" s="44" t="inlineStr">
        <is>
          <t>Reading</t>
        </is>
      </c>
      <c r="B41" s="118" t="inlineStr"/>
      <c r="C41" s="118" t="inlineStr">
        <is>
          <t>2026-12-01</t>
        </is>
      </c>
      <c r="D41" s="118" t="inlineStr">
        <is>
          <t>2026-12-04</t>
        </is>
      </c>
      <c r="E41" s="118" t="inlineStr"/>
      <c r="F41" s="39" t="inlineStr">
        <is>
          <t>Week Dec 1-4: Modern Europe?</t>
        </is>
      </c>
    </row>
    <row r="42">
      <c r="A42" s="40" t="inlineStr">
        <is>
          <t>Identification Quizzes</t>
        </is>
      </c>
      <c r="B42" s="116" t="inlineStr">
        <is>
          <t>5%</t>
        </is>
      </c>
      <c r="C42" s="119" t="inlineStr"/>
      <c r="D42" s="119" t="inlineStr">
        <is>
          <t>2026-12-10</t>
        </is>
      </c>
      <c r="E42" s="119" t="inlineStr">
        <is>
          <t>No</t>
        </is>
      </c>
      <c r="F42" s="42">
        <f>HYPERLINK("https://raw.githubusercontent.com/vengeanceaiUSC/Syllabus-/cursor/add-syllabus-dissector-skill-a676/output/documents/hist-103-identification-quizzes.pdf","Open PDF")</f>
        <v/>
      </c>
    </row>
    <row r="43">
      <c r="A43" s="33" t="inlineStr">
        <is>
          <t>Extra Credit</t>
        </is>
      </c>
      <c r="B43" s="116" t="inlineStr">
        <is>
          <t>—</t>
        </is>
      </c>
      <c r="C43" s="117" t="inlineStr"/>
      <c r="D43" s="117" t="inlineStr">
        <is>
          <t>2026-12-04</t>
        </is>
      </c>
      <c r="E43" s="117" t="inlineStr">
        <is>
          <t>No</t>
        </is>
      </c>
      <c r="F43" s="36">
        <f>HYPERLINK("https://raw.githubusercontent.com/vengeanceaiUSC/Syllabus-/cursor/add-syllabus-dissector-skill-a676/output/documents/hist-103-extra-credit.pdf","Open PDF")</f>
        <v/>
      </c>
    </row>
    <row r="44">
      <c r="A44" s="29" t="inlineStr">
        <is>
          <t>Total</t>
        </is>
      </c>
      <c r="B44" s="45" t="inlineStr">
        <is>
          <t>100%</t>
        </is>
      </c>
    </row>
  </sheetData>
  <mergeCells count="4">
    <mergeCell ref="A2:F2"/>
    <mergeCell ref="A1:F1"/>
    <mergeCell ref="A7:F7"/>
    <mergeCell ref="B6:F6"/>
  </mergeCells>
  <pageMargins left="0.75" right="0.75" top="1" bottom="1" header="0.5" footer="0.5"/>
</worksheet>
</file>

<file path=xl/worksheets/sheet5.xml><?xml version="1.0" encoding="utf-8"?>
<worksheet xmlns="http://schemas.openxmlformats.org/spreadsheetml/2006/main">
  <sheetPr>
    <tabColor rgb="009467BD"/>
    <outlinePr summaryBelow="1" summaryRight="1"/>
    <pageSetUpPr/>
  </sheetPr>
  <dimension ref="A1:F59"/>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121" t="inlineStr">
        <is>
          <t>ECON-351 — Microeconomics for Business</t>
        </is>
      </c>
    </row>
    <row r="2" ht="40" customHeight="1">
      <c r="A2" s="28">
        <f>HYPERLINK("https://raw.githubusercontent.com/vengeanceaiUSC/Syllabus-/cursor/add-syllabus-dissector-skill-a676/output/sources/econ-351-source.pdf","SEE HERE")</f>
        <v/>
      </c>
    </row>
    <row r="3">
      <c r="A3" s="29" t="inlineStr">
        <is>
          <t>Instructor</t>
        </is>
      </c>
      <c r="B3" t="inlineStr">
        <is>
          <t>Alejandro Martínez-Marquina / João Ramos</t>
        </is>
      </c>
    </row>
    <row r="4">
      <c r="A4" s="29" t="inlineStr">
        <is>
          <t>Term</t>
        </is>
      </c>
      <c r="B4" t="inlineStr">
        <is>
          <t>Fall 2026</t>
        </is>
      </c>
    </row>
    <row r="5">
      <c r="A5" s="29" t="inlineStr">
        <is>
          <t>Required for an A</t>
        </is>
      </c>
      <c r="B5" s="30" t="inlineStr">
        <is>
          <t>85%+ (rough guideline)</t>
        </is>
      </c>
    </row>
    <row r="6">
      <c r="A6" s="29" t="inlineStr">
        <is>
          <t>Grading scale</t>
        </is>
      </c>
      <c r="B6" t="inlineStr">
        <is>
          <t>Each course requirement receives a numerical score but not a letter grade. The overall numerical score in the course is converted into a letter grade at the end of the semester in accordance with the Marshall School guidelines. The instructor’s evaluation of the performance of each individual student is the final basis for assigning grades. Each student will be given a grade based on the student's performance in class and demonstrated mastery of the course learning objectives. In the past, students with grades below 60% received either a D or an F (below 50%) in the course. Students with grades between 60% and 70% received a C, 70% and 85% a B, and above 85% an A. However, I emphasize again that these are only rough guidelines – grades will be determined as specified above.</t>
        </is>
      </c>
    </row>
    <row r="7" ht="28" customHeight="1">
      <c r="A7" s="122" t="inlineStr">
        <is>
          <t>First midterm exam 20%  |  Second midterm exam 20%  |  Third midterm exam 20%  |  Fourth midterm exam 20%  |  AI Forecast Project 10%  |  Homework 10%</t>
        </is>
      </c>
    </row>
    <row r="9">
      <c r="A9" s="123" t="inlineStr">
        <is>
          <t>Category</t>
        </is>
      </c>
      <c r="B9" s="123" t="inlineStr">
        <is>
          <t>Weight</t>
        </is>
      </c>
      <c r="C9" s="123" t="inlineStr">
        <is>
          <t>Start Date</t>
        </is>
      </c>
      <c r="D9" s="123" t="inlineStr">
        <is>
          <t>Due Date</t>
        </is>
      </c>
      <c r="E9" s="123" t="inlineStr">
        <is>
          <t>Group Project</t>
        </is>
      </c>
      <c r="F9" s="123" t="inlineStr">
        <is>
          <t>Details</t>
        </is>
      </c>
    </row>
    <row r="10">
      <c r="A10" s="124" t="inlineStr">
        <is>
          <t>First midterm exam</t>
        </is>
      </c>
      <c r="B10" s="146" t="inlineStr">
        <is>
          <t>20%</t>
        </is>
      </c>
      <c r="C10" s="147" t="inlineStr"/>
      <c r="D10" s="147" t="inlineStr">
        <is>
          <t>2026-09-14</t>
        </is>
      </c>
      <c r="E10" s="147" t="inlineStr">
        <is>
          <t>No</t>
        </is>
      </c>
      <c r="F10" s="127">
        <f>HYPERLINK("https://raw.githubusercontent.com/vengeanceaiUSC/Syllabus-/cursor/add-syllabus-dissector-skill-a676/output/documents/econ-351-first-midterm-exam.pdf","Open PDF")</f>
        <v/>
      </c>
    </row>
    <row r="11">
      <c r="A11" s="128" t="inlineStr">
        <is>
          <t>Exam</t>
        </is>
      </c>
      <c r="B11" s="148" t="inlineStr"/>
      <c r="C11" s="148" t="inlineStr"/>
      <c r="D11" s="148" t="inlineStr">
        <is>
          <t>2026-09-14</t>
        </is>
      </c>
      <c r="E11" s="148" t="inlineStr"/>
      <c r="F11" s="130" t="inlineStr">
        <is>
          <t>Midterm 1 — covers Chapters 4 and 9</t>
        </is>
      </c>
    </row>
    <row r="12">
      <c r="A12" s="131" t="inlineStr">
        <is>
          <t>Second midterm exam</t>
        </is>
      </c>
      <c r="B12" s="146" t="inlineStr">
        <is>
          <t>20%</t>
        </is>
      </c>
      <c r="C12" s="149" t="inlineStr"/>
      <c r="D12" s="149" t="inlineStr">
        <is>
          <t>2026-10-12</t>
        </is>
      </c>
      <c r="E12" s="149" t="inlineStr">
        <is>
          <t>No</t>
        </is>
      </c>
      <c r="F12" s="133">
        <f>HYPERLINK("https://raw.githubusercontent.com/vengeanceaiUSC/Syllabus-/cursor/add-syllabus-dissector-skill-a676/output/documents/econ-351-second-midterm-exam.pdf","Open PDF")</f>
        <v/>
      </c>
    </row>
    <row r="13">
      <c r="A13" s="128" t="inlineStr">
        <is>
          <t>Exam</t>
        </is>
      </c>
      <c r="B13" s="148" t="inlineStr"/>
      <c r="C13" s="148" t="inlineStr"/>
      <c r="D13" s="148" t="inlineStr">
        <is>
          <t>2026-10-12</t>
        </is>
      </c>
      <c r="E13" s="148" t="inlineStr"/>
      <c r="F13" s="130" t="inlineStr">
        <is>
          <t>Midterm 2 — covers Chapters 3, 5, and 6</t>
        </is>
      </c>
    </row>
    <row r="14">
      <c r="A14" s="124" t="inlineStr">
        <is>
          <t>Third midterm exam</t>
        </is>
      </c>
      <c r="B14" s="146" t="inlineStr">
        <is>
          <t>20%</t>
        </is>
      </c>
      <c r="C14" s="147" t="inlineStr"/>
      <c r="D14" s="147" t="inlineStr">
        <is>
          <t>2026-11-04</t>
        </is>
      </c>
      <c r="E14" s="147" t="inlineStr">
        <is>
          <t>No</t>
        </is>
      </c>
      <c r="F14" s="127">
        <f>HYPERLINK("https://raw.githubusercontent.com/vengeanceaiUSC/Syllabus-/cursor/add-syllabus-dissector-skill-a676/output/documents/econ-351-third-midterm-exam.pdf","Open PDF")</f>
        <v/>
      </c>
    </row>
    <row r="15">
      <c r="A15" s="128" t="inlineStr">
        <is>
          <t>Exam</t>
        </is>
      </c>
      <c r="B15" s="148" t="inlineStr"/>
      <c r="C15" s="148" t="inlineStr"/>
      <c r="D15" s="148" t="inlineStr">
        <is>
          <t>2026-11-04</t>
        </is>
      </c>
      <c r="E15" s="148" t="inlineStr"/>
      <c r="F15" s="130" t="inlineStr">
        <is>
          <t>Midterm 3 — covers Chapters 7, 8, and 10</t>
        </is>
      </c>
    </row>
    <row r="16">
      <c r="A16" s="131" t="inlineStr">
        <is>
          <t>Fourth midterm exam</t>
        </is>
      </c>
      <c r="B16" s="146" t="inlineStr">
        <is>
          <t>20%</t>
        </is>
      </c>
      <c r="C16" s="149" t="inlineStr"/>
      <c r="D16" s="149" t="inlineStr">
        <is>
          <t>2026-12-02</t>
        </is>
      </c>
      <c r="E16" s="149" t="inlineStr">
        <is>
          <t>No</t>
        </is>
      </c>
      <c r="F16" s="133">
        <f>HYPERLINK("https://raw.githubusercontent.com/vengeanceaiUSC/Syllabus-/cursor/add-syllabus-dissector-skill-a676/output/documents/econ-351-fourth-midterm-exam.pdf","Open PDF")</f>
        <v/>
      </c>
    </row>
    <row r="17">
      <c r="A17" s="128" t="inlineStr">
        <is>
          <t>Exam</t>
        </is>
      </c>
      <c r="B17" s="148" t="inlineStr"/>
      <c r="C17" s="148" t="inlineStr"/>
      <c r="D17" s="148" t="inlineStr">
        <is>
          <t>2026-12-02</t>
        </is>
      </c>
      <c r="E17" s="148" t="inlineStr"/>
      <c r="F17" s="130" t="inlineStr">
        <is>
          <t>Midterm 4 — covers Chapters 11, 12, and 13</t>
        </is>
      </c>
    </row>
    <row r="18">
      <c r="A18" s="124" t="inlineStr">
        <is>
          <t>AI Forecast Project</t>
        </is>
      </c>
      <c r="B18" s="146" t="inlineStr">
        <is>
          <t>10%</t>
        </is>
      </c>
      <c r="C18" s="147" t="inlineStr"/>
      <c r="D18" s="147" t="inlineStr">
        <is>
          <t>2026-12-11</t>
        </is>
      </c>
      <c r="E18" s="147" t="inlineStr">
        <is>
          <t>No</t>
        </is>
      </c>
      <c r="F18" s="127">
        <f>HYPERLINK("https://raw.githubusercontent.com/vengeanceaiUSC/Syllabus-/cursor/add-syllabus-dissector-skill-a676/output/documents/econ-351-ai-forecast-project.pdf","Open PDF")</f>
        <v/>
      </c>
    </row>
    <row r="19">
      <c r="A19" s="134" t="inlineStr">
        <is>
          <t>Assignment</t>
        </is>
      </c>
      <c r="B19" s="148" t="inlineStr"/>
      <c r="C19" s="148" t="inlineStr"/>
      <c r="D19" s="148" t="inlineStr">
        <is>
          <t>2026-10-02</t>
        </is>
      </c>
      <c r="E19" s="148" t="inlineStr"/>
      <c r="F19" s="130" t="inlineStr">
        <is>
          <t>AI Forecast Project — Part I</t>
        </is>
      </c>
    </row>
    <row r="20">
      <c r="A20" s="134" t="inlineStr">
        <is>
          <t>Assignment</t>
        </is>
      </c>
      <c r="B20" s="148" t="inlineStr"/>
      <c r="C20" s="148" t="inlineStr"/>
      <c r="D20" s="148" t="inlineStr">
        <is>
          <t>2026-12-11</t>
        </is>
      </c>
      <c r="E20" s="148" t="inlineStr"/>
      <c r="F20" s="130" t="inlineStr">
        <is>
          <t>AI Forecast Project — Part II</t>
        </is>
      </c>
    </row>
    <row r="21">
      <c r="A21" s="131" t="inlineStr">
        <is>
          <t>Homework</t>
        </is>
      </c>
      <c r="B21" s="146" t="inlineStr">
        <is>
          <t>10%</t>
        </is>
      </c>
      <c r="C21" s="149" t="inlineStr"/>
      <c r="D21" s="149" t="inlineStr">
        <is>
          <t>2026-11-27</t>
        </is>
      </c>
      <c r="E21" s="149" t="inlineStr">
        <is>
          <t>No</t>
        </is>
      </c>
      <c r="F21" s="133">
        <f>HYPERLINK("https://raw.githubusercontent.com/vengeanceaiUSC/Syllabus-/cursor/add-syllabus-dissector-skill-a676/output/documents/econ-351-homework.pdf","Open PDF")</f>
        <v/>
      </c>
    </row>
    <row r="22">
      <c r="A22" s="135" t="inlineStr">
        <is>
          <t>Reading</t>
        </is>
      </c>
      <c r="B22" s="148" t="inlineStr"/>
      <c r="C22" s="148" t="inlineStr"/>
      <c r="D22" s="148" t="inlineStr"/>
      <c r="E22" s="148" t="inlineStr"/>
      <c r="F22" s="130" t="inlineStr">
        <is>
          <t>Finals Week: - AI Project – Part II due December 11</t>
        </is>
      </c>
    </row>
    <row r="23">
      <c r="A23" s="135" t="inlineStr">
        <is>
          <t>Reading</t>
        </is>
      </c>
      <c r="B23" s="148" t="inlineStr"/>
      <c r="C23" s="148" t="inlineStr"/>
      <c r="D23" s="148" t="inlineStr">
        <is>
          <t>2026-08-24</t>
        </is>
      </c>
      <c r="E23" s="148" t="inlineStr"/>
      <c r="F23" s="130" t="inlineStr">
        <is>
          <t>Week 1: Aug.24/26 - Complete the math self-assessment on Brightspace</t>
        </is>
      </c>
    </row>
    <row r="24">
      <c r="A24" s="135" t="inlineStr">
        <is>
          <t>Reading</t>
        </is>
      </c>
      <c r="B24" s="148" t="inlineStr"/>
      <c r="C24" s="148" t="inlineStr"/>
      <c r="D24" s="148" t="inlineStr">
        <is>
          <t>2026-08-24</t>
        </is>
      </c>
      <c r="E24" s="148" t="inlineStr"/>
      <c r="F24" s="130" t="inlineStr">
        <is>
          <t>Week 1: Aug.24/26 - Read Chapters 2 and 4</t>
        </is>
      </c>
    </row>
    <row r="25">
      <c r="A25" s="135" t="inlineStr">
        <is>
          <t>Reading</t>
        </is>
      </c>
      <c r="B25" s="148" t="inlineStr"/>
      <c r="C25" s="148" t="inlineStr"/>
      <c r="D25" s="148" t="inlineStr">
        <is>
          <t>2026-08-24</t>
        </is>
      </c>
      <c r="E25" s="148" t="inlineStr"/>
      <c r="F25" s="130" t="inlineStr">
        <is>
          <t>Week 1: Aug.24/26 - Read the syllabus</t>
        </is>
      </c>
    </row>
    <row r="26">
      <c r="A26" s="135" t="inlineStr">
        <is>
          <t>Reading</t>
        </is>
      </c>
      <c r="B26" s="148" t="inlineStr"/>
      <c r="C26" s="148" t="inlineStr"/>
      <c r="D26" s="148" t="inlineStr">
        <is>
          <t>2026-09-04</t>
        </is>
      </c>
      <c r="E26" s="148" t="inlineStr"/>
      <c r="F26" s="130" t="inlineStr">
        <is>
          <t>Week 2: Aug.31/Sep.2 - Begin Chapter 9: Uncertainty</t>
        </is>
      </c>
    </row>
    <row r="27">
      <c r="A27" s="135" t="inlineStr">
        <is>
          <t>Reading</t>
        </is>
      </c>
      <c r="B27" s="148" t="inlineStr"/>
      <c r="C27" s="148" t="inlineStr"/>
      <c r="D27" s="148" t="inlineStr">
        <is>
          <t>2026-09-04</t>
        </is>
      </c>
      <c r="E27" s="148" t="inlineStr"/>
      <c r="F27" s="130" t="inlineStr">
        <is>
          <t>Week 2: Aug.31/Sep.2 - Finish reading Chapter 4 (in-class dis- cussion)</t>
        </is>
      </c>
    </row>
    <row r="28">
      <c r="A28" s="136" t="inlineStr">
        <is>
          <t>Homework</t>
        </is>
      </c>
      <c r="B28" s="148" t="inlineStr"/>
      <c r="C28" s="148" t="inlineStr"/>
      <c r="D28" s="148" t="inlineStr">
        <is>
          <t>2026-09-04</t>
        </is>
      </c>
      <c r="E28" s="148" t="inlineStr"/>
      <c r="F28" s="130" t="inlineStr">
        <is>
          <t>Homework 1 (Chapter 4) — Brightspace, due 11:59 pm</t>
        </is>
      </c>
    </row>
    <row r="29">
      <c r="A29" s="135" t="inlineStr">
        <is>
          <t>Reading</t>
        </is>
      </c>
      <c r="B29" s="148" t="inlineStr"/>
      <c r="C29" s="148" t="inlineStr"/>
      <c r="D29" s="148" t="inlineStr">
        <is>
          <t>2026-09-11</t>
        </is>
      </c>
      <c r="E29" s="148" t="inlineStr"/>
      <c r="F29" s="130" t="inlineStr">
        <is>
          <t>Week 3: Sep.7/9 - Discussion of Chapter 9</t>
        </is>
      </c>
    </row>
    <row r="30">
      <c r="A30" s="135" t="inlineStr">
        <is>
          <t>Reading</t>
        </is>
      </c>
      <c r="B30" s="148" t="inlineStr"/>
      <c r="C30" s="148" t="inlineStr"/>
      <c r="D30" s="148" t="inlineStr">
        <is>
          <t>2026-09-11</t>
        </is>
      </c>
      <c r="E30" s="148" t="inlineStr"/>
      <c r="F30" s="130" t="inlineStr">
        <is>
          <t>Week 3: Sep.7/9 - No class Monday Sep.7 (Labor Day)</t>
        </is>
      </c>
    </row>
    <row r="31">
      <c r="A31" s="136" t="inlineStr">
        <is>
          <t>Homework</t>
        </is>
      </c>
      <c r="B31" s="148" t="inlineStr"/>
      <c r="C31" s="148" t="inlineStr"/>
      <c r="D31" s="148" t="inlineStr">
        <is>
          <t>2026-09-11</t>
        </is>
      </c>
      <c r="E31" s="148" t="inlineStr"/>
      <c r="F31" s="130" t="inlineStr">
        <is>
          <t>Homework 2 (Chapter 9) — Brightspace, due 11:59 pm</t>
        </is>
      </c>
    </row>
    <row r="32">
      <c r="A32" s="136" t="inlineStr">
        <is>
          <t>Homework</t>
        </is>
      </c>
      <c r="B32" s="148" t="inlineStr"/>
      <c r="C32" s="148" t="inlineStr"/>
      <c r="D32" s="148" t="inlineStr">
        <is>
          <t>2026-09-18</t>
        </is>
      </c>
      <c r="E32" s="148" t="inlineStr"/>
      <c r="F32" s="130" t="inlineStr">
        <is>
          <t>Homework 3 — Brightspace, due 11:59 pm</t>
        </is>
      </c>
    </row>
    <row r="33">
      <c r="A33" s="135" t="inlineStr">
        <is>
          <t>Reading</t>
        </is>
      </c>
      <c r="B33" s="148" t="inlineStr"/>
      <c r="C33" s="148" t="inlineStr"/>
      <c r="D33" s="148" t="inlineStr">
        <is>
          <t>2026-09-25</t>
        </is>
      </c>
      <c r="E33" s="148" t="inlineStr"/>
      <c r="F33" s="130" t="inlineStr">
        <is>
          <t>Week 5: Sep.21/23 - Complete the Chapter 3 - Part II home- work on Brightspace (due Sep.25)</t>
        </is>
      </c>
    </row>
    <row r="34">
      <c r="A34" s="135" t="inlineStr">
        <is>
          <t>Reading</t>
        </is>
      </c>
      <c r="B34" s="148" t="inlineStr"/>
      <c r="C34" s="148" t="inlineStr"/>
      <c r="D34" s="148" t="inlineStr">
        <is>
          <t>2026-09-25</t>
        </is>
      </c>
      <c r="E34" s="148" t="inlineStr"/>
      <c r="F34" s="130" t="inlineStr">
        <is>
          <t>Week 5: Sep.21/23 - Discussion of Chapter 3</t>
        </is>
      </c>
    </row>
    <row r="35">
      <c r="A35" s="135" t="inlineStr">
        <is>
          <t>Reading</t>
        </is>
      </c>
      <c r="B35" s="148" t="inlineStr"/>
      <c r="C35" s="148" t="inlineStr"/>
      <c r="D35" s="148" t="inlineStr">
        <is>
          <t>2026-09-25</t>
        </is>
      </c>
      <c r="E35" s="148" t="inlineStr"/>
      <c r="F35" s="130" t="inlineStr">
        <is>
          <t>Week 5: Sep.21/23 - Finish reading Chapter 3</t>
        </is>
      </c>
    </row>
    <row r="36">
      <c r="A36" s="136" t="inlineStr">
        <is>
          <t>Homework</t>
        </is>
      </c>
      <c r="B36" s="148" t="inlineStr"/>
      <c r="C36" s="148" t="inlineStr"/>
      <c r="D36" s="148" t="inlineStr">
        <is>
          <t>2026-09-25</t>
        </is>
      </c>
      <c r="E36" s="148" t="inlineStr"/>
      <c r="F36" s="130" t="inlineStr">
        <is>
          <t>Homework 4 (Chapter 3) — Brightspace, due 11:59 pm</t>
        </is>
      </c>
    </row>
    <row r="37">
      <c r="A37" s="135" t="inlineStr">
        <is>
          <t>Reading</t>
        </is>
      </c>
      <c r="B37" s="148" t="inlineStr"/>
      <c r="C37" s="148" t="inlineStr"/>
      <c r="D37" s="148" t="inlineStr">
        <is>
          <t>2026-10-02</t>
        </is>
      </c>
      <c r="E37" s="148" t="inlineStr"/>
      <c r="F37" s="130" t="inlineStr">
        <is>
          <t>Week 6: Sep.28/30 - AI Project – Part I due October 2</t>
        </is>
      </c>
    </row>
    <row r="38">
      <c r="A38" s="135" t="inlineStr">
        <is>
          <t>Reading</t>
        </is>
      </c>
      <c r="B38" s="148" t="inlineStr"/>
      <c r="C38" s="148" t="inlineStr"/>
      <c r="D38" s="148" t="inlineStr">
        <is>
          <t>2026-10-02</t>
        </is>
      </c>
      <c r="E38" s="148" t="inlineStr"/>
      <c r="F38" s="130" t="inlineStr">
        <is>
          <t>Week 6: Sep.28/30 - Discussion of Chapter 5</t>
        </is>
      </c>
    </row>
    <row r="39">
      <c r="A39" s="135" t="inlineStr">
        <is>
          <t>Reading</t>
        </is>
      </c>
      <c r="B39" s="148" t="inlineStr"/>
      <c r="C39" s="148" t="inlineStr"/>
      <c r="D39" s="148" t="inlineStr">
        <is>
          <t>2026-10-02</t>
        </is>
      </c>
      <c r="E39" s="148" t="inlineStr"/>
      <c r="F39" s="130" t="inlineStr">
        <is>
          <t>Week 6: Sep.28/30 - Read Chapter 5</t>
        </is>
      </c>
    </row>
    <row r="40">
      <c r="A40" s="136" t="inlineStr">
        <is>
          <t>Homework</t>
        </is>
      </c>
      <c r="B40" s="148" t="inlineStr"/>
      <c r="C40" s="148" t="inlineStr"/>
      <c r="D40" s="148" t="inlineStr">
        <is>
          <t>2026-10-02</t>
        </is>
      </c>
      <c r="E40" s="148" t="inlineStr"/>
      <c r="F40" s="130" t="inlineStr">
        <is>
          <t>Homework 5 (Chapter 5) — Brightspace, due 11:59 pm</t>
        </is>
      </c>
    </row>
    <row r="41">
      <c r="A41" s="135" t="inlineStr">
        <is>
          <t>Reading</t>
        </is>
      </c>
      <c r="B41" s="148" t="inlineStr"/>
      <c r="C41" s="148" t="inlineStr"/>
      <c r="D41" s="148" t="inlineStr">
        <is>
          <t>2026-10-09</t>
        </is>
      </c>
      <c r="E41" s="148" t="inlineStr"/>
      <c r="F41" s="130" t="inlineStr">
        <is>
          <t>Week 7: Oct.5/7 - Midterm review on Oct.7</t>
        </is>
      </c>
    </row>
    <row r="42">
      <c r="A42" s="135" t="inlineStr">
        <is>
          <t>Reading</t>
        </is>
      </c>
      <c r="B42" s="148" t="inlineStr"/>
      <c r="C42" s="148" t="inlineStr"/>
      <c r="D42" s="148" t="inlineStr">
        <is>
          <t>2026-10-09</t>
        </is>
      </c>
      <c r="E42" s="148" t="inlineStr"/>
      <c r="F42" s="130" t="inlineStr">
        <is>
          <t>Week 7: Oct.5/7 - Read Chapter 6</t>
        </is>
      </c>
    </row>
    <row r="43">
      <c r="A43" s="136" t="inlineStr">
        <is>
          <t>Homework</t>
        </is>
      </c>
      <c r="B43" s="148" t="inlineStr"/>
      <c r="C43" s="148" t="inlineStr"/>
      <c r="D43" s="148" t="inlineStr">
        <is>
          <t>2026-10-09</t>
        </is>
      </c>
      <c r="E43" s="148" t="inlineStr"/>
      <c r="F43" s="130" t="inlineStr">
        <is>
          <t>Homework 6 (Chapter 6) — Brightspace, due 11:59 pm</t>
        </is>
      </c>
    </row>
    <row r="44">
      <c r="A44" s="136" t="inlineStr">
        <is>
          <t>Homework</t>
        </is>
      </c>
      <c r="B44" s="148" t="inlineStr"/>
      <c r="C44" s="148" t="inlineStr"/>
      <c r="D44" s="148" t="inlineStr">
        <is>
          <t>2026-10-16</t>
        </is>
      </c>
      <c r="E44" s="148" t="inlineStr"/>
      <c r="F44" s="130" t="inlineStr">
        <is>
          <t>Homework 7 — Brightspace, due 11:59 pm</t>
        </is>
      </c>
    </row>
    <row r="45">
      <c r="A45" s="135" t="inlineStr">
        <is>
          <t>Reading</t>
        </is>
      </c>
      <c r="B45" s="148" t="inlineStr"/>
      <c r="C45" s="148" t="inlineStr"/>
      <c r="D45" s="148" t="inlineStr">
        <is>
          <t>2026-10-23</t>
        </is>
      </c>
      <c r="E45" s="148" t="inlineStr"/>
      <c r="F45" s="130" t="inlineStr">
        <is>
          <t>Week 9: Oct.19/21 - Read Chapter 8</t>
        </is>
      </c>
    </row>
    <row r="46">
      <c r="A46" s="136" t="inlineStr">
        <is>
          <t>Homework</t>
        </is>
      </c>
      <c r="B46" s="148" t="inlineStr"/>
      <c r="C46" s="148" t="inlineStr"/>
      <c r="D46" s="148" t="inlineStr">
        <is>
          <t>2026-10-23</t>
        </is>
      </c>
      <c r="E46" s="148" t="inlineStr"/>
      <c r="F46" s="130" t="inlineStr">
        <is>
          <t>Homework 8 (Chapter 8) — Brightspace, due 11:59 pm</t>
        </is>
      </c>
    </row>
    <row r="47">
      <c r="A47" s="135" t="inlineStr">
        <is>
          <t>Reading</t>
        </is>
      </c>
      <c r="B47" s="148" t="inlineStr"/>
      <c r="C47" s="148" t="inlineStr"/>
      <c r="D47" s="148" t="inlineStr">
        <is>
          <t>2026-10-30</t>
        </is>
      </c>
      <c r="E47" s="148" t="inlineStr"/>
      <c r="F47" s="130" t="inlineStr">
        <is>
          <t>Week 10: Oct.26/28 - Read Chapter 10</t>
        </is>
      </c>
    </row>
    <row r="48">
      <c r="A48" s="136" t="inlineStr">
        <is>
          <t>Homework</t>
        </is>
      </c>
      <c r="B48" s="148" t="inlineStr"/>
      <c r="C48" s="148" t="inlineStr"/>
      <c r="D48" s="148" t="inlineStr">
        <is>
          <t>2026-10-30</t>
        </is>
      </c>
      <c r="E48" s="148" t="inlineStr"/>
      <c r="F48" s="130" t="inlineStr">
        <is>
          <t>Homework 9 (Chapter 10) — Brightspace, due 11:59 pm</t>
        </is>
      </c>
    </row>
    <row r="49">
      <c r="A49" s="135" t="inlineStr">
        <is>
          <t>Reading</t>
        </is>
      </c>
      <c r="B49" s="148" t="inlineStr"/>
      <c r="C49" s="148" t="inlineStr"/>
      <c r="D49" s="148" t="inlineStr">
        <is>
          <t>2026-11-13</t>
        </is>
      </c>
      <c r="E49" s="148" t="inlineStr"/>
      <c r="F49" s="130" t="inlineStr">
        <is>
          <t>Week 12: Nov.9/11 - No class Wednesday Nov.11 (Veterans Day)</t>
        </is>
      </c>
    </row>
    <row r="50">
      <c r="A50" s="135" t="inlineStr">
        <is>
          <t>Reading</t>
        </is>
      </c>
      <c r="B50" s="148" t="inlineStr"/>
      <c r="C50" s="148" t="inlineStr"/>
      <c r="D50" s="148" t="inlineStr">
        <is>
          <t>2026-11-13</t>
        </is>
      </c>
      <c r="E50" s="148" t="inlineStr"/>
      <c r="F50" s="130" t="inlineStr">
        <is>
          <t>Week 12: Nov.9/11 - Read Chapter 11</t>
        </is>
      </c>
    </row>
    <row r="51">
      <c r="A51" s="136" t="inlineStr">
        <is>
          <t>Homework</t>
        </is>
      </c>
      <c r="B51" s="148" t="inlineStr"/>
      <c r="C51" s="148" t="inlineStr"/>
      <c r="D51" s="148" t="inlineStr">
        <is>
          <t>2026-11-13</t>
        </is>
      </c>
      <c r="E51" s="148" t="inlineStr"/>
      <c r="F51" s="130" t="inlineStr">
        <is>
          <t>Homework 10 (Chapter 11) — Brightspace, due 11:59 pm</t>
        </is>
      </c>
    </row>
    <row r="52">
      <c r="A52" s="135" t="inlineStr">
        <is>
          <t>Reading</t>
        </is>
      </c>
      <c r="B52" s="148" t="inlineStr"/>
      <c r="C52" s="148" t="inlineStr"/>
      <c r="D52" s="148" t="inlineStr">
        <is>
          <t>2026-11-20</t>
        </is>
      </c>
      <c r="E52" s="148" t="inlineStr"/>
      <c r="F52" s="130" t="inlineStr">
        <is>
          <t>Week 13: Nov.16/18 - Read Chapter 12</t>
        </is>
      </c>
    </row>
    <row r="53">
      <c r="A53" s="136" t="inlineStr">
        <is>
          <t>Homework</t>
        </is>
      </c>
      <c r="B53" s="148" t="inlineStr"/>
      <c r="C53" s="148" t="inlineStr"/>
      <c r="D53" s="148" t="inlineStr">
        <is>
          <t>2026-11-20</t>
        </is>
      </c>
      <c r="E53" s="148" t="inlineStr"/>
      <c r="F53" s="130" t="inlineStr">
        <is>
          <t>Homework 11 (Chapter 12) — Brightspace, due 11:59 pm</t>
        </is>
      </c>
    </row>
    <row r="54">
      <c r="A54" s="135" t="inlineStr">
        <is>
          <t>Reading</t>
        </is>
      </c>
      <c r="B54" s="148" t="inlineStr"/>
      <c r="C54" s="148" t="inlineStr"/>
      <c r="D54" s="148" t="inlineStr">
        <is>
          <t>2026-11-27</t>
        </is>
      </c>
      <c r="E54" s="148" t="inlineStr"/>
      <c r="F54" s="130" t="inlineStr">
        <is>
          <t>Week 14: Nov.23 - Complete the Chapter 12+13 home- work on Brightspace (due Nov.27)</t>
        </is>
      </c>
    </row>
    <row r="55">
      <c r="A55" s="135" t="inlineStr">
        <is>
          <t>Reading</t>
        </is>
      </c>
      <c r="B55" s="148" t="inlineStr"/>
      <c r="C55" s="148" t="inlineStr"/>
      <c r="D55" s="148" t="inlineStr">
        <is>
          <t>2026-11-27</t>
        </is>
      </c>
      <c r="E55" s="148" t="inlineStr"/>
      <c r="F55" s="130" t="inlineStr">
        <is>
          <t>Week 14: Nov.23 - No class Wednesday Nov.25 (Thanks- giving)</t>
        </is>
      </c>
    </row>
    <row r="56">
      <c r="A56" s="135" t="inlineStr">
        <is>
          <t>Reading</t>
        </is>
      </c>
      <c r="B56" s="148" t="inlineStr"/>
      <c r="C56" s="148" t="inlineStr"/>
      <c r="D56" s="148" t="inlineStr">
        <is>
          <t>2026-11-27</t>
        </is>
      </c>
      <c r="E56" s="148" t="inlineStr"/>
      <c r="F56" s="130" t="inlineStr">
        <is>
          <t>Week 14: Nov.23 - Read Chapter 13</t>
        </is>
      </c>
    </row>
    <row r="57">
      <c r="A57" s="136" t="inlineStr">
        <is>
          <t>Homework</t>
        </is>
      </c>
      <c r="B57" s="148" t="inlineStr"/>
      <c r="C57" s="148" t="inlineStr"/>
      <c r="D57" s="148" t="inlineStr">
        <is>
          <t>2026-11-27</t>
        </is>
      </c>
      <c r="E57" s="148" t="inlineStr"/>
      <c r="F57" s="130" t="inlineStr">
        <is>
          <t>Homework 12 (Chapter 13) — Brightspace, due 11:59 pm</t>
        </is>
      </c>
    </row>
    <row r="58">
      <c r="A58" s="124" t="inlineStr">
        <is>
          <t>Extra Credit</t>
        </is>
      </c>
      <c r="B58" s="146" t="inlineStr">
        <is>
          <t>—</t>
        </is>
      </c>
      <c r="C58" s="147" t="inlineStr"/>
      <c r="D58" s="147" t="inlineStr"/>
      <c r="E58" s="147" t="inlineStr">
        <is>
          <t>No</t>
        </is>
      </c>
      <c r="F58" s="127">
        <f>HYPERLINK("https://raw.githubusercontent.com/vengeanceaiUSC/Syllabus-/cursor/add-syllabus-dissector-skill-a676/output/documents/econ-351-extra-credit.pdf","Open PDF")</f>
        <v/>
      </c>
    </row>
    <row r="59">
      <c r="A59" s="29" t="inlineStr">
        <is>
          <t>Total</t>
        </is>
      </c>
      <c r="B59" s="137" t="inlineStr">
        <is>
          <t>100%</t>
        </is>
      </c>
    </row>
  </sheetData>
  <mergeCells count="4">
    <mergeCell ref="A2:F2"/>
    <mergeCell ref="A1:F1"/>
    <mergeCell ref="A7:F7"/>
    <mergeCell ref="B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2026-08-24T21:20:27Z</dcterms:modified>
</cp:coreProperties>
</file>