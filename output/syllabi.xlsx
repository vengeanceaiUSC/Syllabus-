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UAD-281" sheetId="2" state="visible" r:id="rId2"/>
    <sheet xmlns:r="http://schemas.openxmlformats.org/officeDocument/2006/relationships" name="HIST-103" sheetId="3" state="visible" r:id="rId3"/>
    <sheet xmlns:r="http://schemas.openxmlformats.org/officeDocument/2006/relationships" name="ECON-351" sheetId="4" state="visible" r:id="rId4"/>
    <sheet xmlns:r="http://schemas.openxmlformats.org/officeDocument/2006/relationships" name="BUAD-304" sheetId="5" state="visible" r:id="rId5"/>
    <sheet xmlns:r="http://schemas.openxmlformats.org/officeDocument/2006/relationships" name="SPAN-290" sheetId="6" state="visible" r:id="rId6"/>
    <sheet xmlns:r="http://schemas.openxmlformats.org/officeDocument/2006/relationships" name="JS-310" sheetId="7" state="visible" r:id="rId7"/>
  </sheets>
  <definedNames/>
  <calcPr calcId="124519" fullCalcOnLoad="1"/>
</workbook>
</file>

<file path=xl/styles.xml><?xml version="1.0" encoding="utf-8"?>
<styleSheet xmlns="http://schemas.openxmlformats.org/spreadsheetml/2006/main">
  <numFmts count="0"/>
  <fonts count="37">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s>
  <fills count="49">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18">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62056" TargetMode="External" Id="rId1"/><Relationship Type="http://schemas.openxmlformats.org/officeDocument/2006/relationships/hyperlink" Target="https://www.ratemyprofessors.com/professor/1808480" TargetMode="External" Id="rId2"/><Relationship Type="http://schemas.openxmlformats.org/officeDocument/2006/relationships/hyperlink" Target="https://www.ratemyprofessors.com/professor/2880539" TargetMode="External" Id="rId3"/><Relationship Type="http://schemas.openxmlformats.org/officeDocument/2006/relationships/hyperlink" Target="https://www.ratemyprofessors.com/professor/1642149" TargetMode="External" Id="rId4"/><Relationship Type="http://schemas.openxmlformats.org/officeDocument/2006/relationships/hyperlink" Target="https://www.ratemyprofessors.com/professor/2745347" TargetMode="External" Id="rId5"/><Relationship Type="http://schemas.openxmlformats.org/officeDocument/2006/relationships/hyperlink" Target="https://www.ratemyprofessors.com/professor/2132312" TargetMode="External" Id="rId6"/></Relationships>
</file>

<file path=xl/worksheets/sheet1.xml><?xml version="1.0" encoding="utf-8"?>
<worksheet xmlns="http://schemas.openxmlformats.org/spreadsheetml/2006/main">
  <sheetPr>
    <tabColor rgb="00203764"/>
    <outlinePr summaryBelow="0" summaryRight="1"/>
    <pageSetUpPr/>
  </sheetPr>
  <dimension ref="A1:K154"/>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c r="A2" s="2" t="inlineStr">
        <is>
          <t>Term: Fall 2026</t>
        </is>
      </c>
    </row>
    <row r="3">
      <c r="A3" s="3" t="inlineStr">
        <is>
          <t>Today: 2026-08-21</t>
        </is>
      </c>
    </row>
    <row r="4">
      <c r="A4" s="13" t="inlineStr">
        <is>
          <t>Professor Ratings (Rate My Professors) - click +/- at left to expand/collapse</t>
        </is>
      </c>
    </row>
    <row r="5" hidden="1" outlineLevel="1">
      <c r="A5" s="6" t="inlineStr">
        <is>
          <t>Class</t>
        </is>
      </c>
      <c r="B5" s="6" t="inlineStr">
        <is>
          <t>Instructor</t>
        </is>
      </c>
      <c r="C5" s="6" t="inlineStr">
        <is>
          <t>Quality (/5)</t>
        </is>
      </c>
      <c r="D5" s="6" t="inlineStr">
        <is>
          <t>Difficulty (/5)</t>
        </is>
      </c>
      <c r="E5" s="6" t="inlineStr">
        <is>
          <t>Avg Reviewer Grade</t>
        </is>
      </c>
      <c r="F5" s="6" t="inlineStr">
        <is>
          <t>Would Take Again</t>
        </is>
      </c>
      <c r="G5" s="6" t="inlineStr">
        <is>
          <t># Ratings</t>
        </is>
      </c>
    </row>
    <row r="6" hidden="1" outlineLevel="1">
      <c r="A6" s="7">
        <f>HYPERLINK("#'BUAD-281'!A1","BUAD-281")</f>
        <v/>
      </c>
      <c r="B6" s="88" t="inlineStr">
        <is>
          <t>George Braunegg</t>
        </is>
      </c>
      <c r="C6" s="26" t="inlineStr">
        <is>
          <t>4.3</t>
        </is>
      </c>
      <c r="D6" s="8" t="inlineStr">
        <is>
          <t>3.3</t>
        </is>
      </c>
      <c r="E6" s="8" t="inlineStr">
        <is>
          <t>A- (3.69) [177/255 reported]</t>
        </is>
      </c>
      <c r="F6" s="8" t="inlineStr">
        <is>
          <t>80.9%</t>
        </is>
      </c>
      <c r="G6" s="8" t="inlineStr">
        <is>
          <t>255</t>
        </is>
      </c>
    </row>
    <row r="7" hidden="1" outlineLevel="1">
      <c r="A7" s="10">
        <f>HYPERLINK("#'BUAD-304'!A1","BUAD-304")</f>
        <v/>
      </c>
      <c r="B7" s="89" t="inlineStr">
        <is>
          <t>Christine El Haddad</t>
        </is>
      </c>
      <c r="C7" s="90" t="inlineStr">
        <is>
          <t>4.5</t>
        </is>
      </c>
      <c r="D7" s="11" t="inlineStr">
        <is>
          <t>2.7</t>
        </is>
      </c>
      <c r="E7" s="11" t="inlineStr">
        <is>
          <t>A- (3.71) [29/50 reported]</t>
        </is>
      </c>
      <c r="F7" s="11" t="inlineStr">
        <is>
          <t>78.9%</t>
        </is>
      </c>
      <c r="G7" s="11" t="inlineStr">
        <is>
          <t>50</t>
        </is>
      </c>
    </row>
    <row r="8" hidden="1" outlineLevel="1">
      <c r="A8" s="7">
        <f>HYPERLINK("#'ECON-351'!A1","ECON-351")</f>
        <v/>
      </c>
      <c r="B8" s="88" t="inlineStr">
        <is>
          <t>Alejandro Martínez-Marquina / João Ramos (RMP: Alejandro Martínez-Marquina)</t>
        </is>
      </c>
      <c r="C8" s="26" t="inlineStr">
        <is>
          <t>4.6</t>
        </is>
      </c>
      <c r="D8" s="8" t="inlineStr">
        <is>
          <t>3.1</t>
        </is>
      </c>
      <c r="E8" s="8" t="inlineStr">
        <is>
          <t>A- (3.76) [39/62 reported]</t>
        </is>
      </c>
      <c r="F8" s="8" t="inlineStr">
        <is>
          <t>85.2%</t>
        </is>
      </c>
      <c r="G8" s="8" t="inlineStr">
        <is>
          <t>62</t>
        </is>
      </c>
    </row>
    <row r="9" hidden="1" outlineLevel="1">
      <c r="A9" s="10">
        <f>HYPERLINK("#'HIST-103'!A1","HIST-103")</f>
        <v/>
      </c>
      <c r="B9" s="89" t="inlineStr">
        <is>
          <t>Lindsay O'Neill</t>
        </is>
      </c>
      <c r="C9" s="90" t="inlineStr">
        <is>
          <t>4.3</t>
        </is>
      </c>
      <c r="D9" s="11" t="inlineStr">
        <is>
          <t>2.5</t>
        </is>
      </c>
      <c r="E9" s="11" t="inlineStr">
        <is>
          <t>A- (3.77) [27/54 reported]</t>
        </is>
      </c>
      <c r="F9" s="11" t="inlineStr">
        <is>
          <t>79.3%</t>
        </is>
      </c>
      <c r="G9" s="11" t="inlineStr">
        <is>
          <t>54</t>
        </is>
      </c>
    </row>
    <row r="10" hidden="1" outlineLevel="1">
      <c r="A10" s="7">
        <f>HYPERLINK("#'JS-310'!A1","JS-310")</f>
        <v/>
      </c>
      <c r="B10" s="88" t="inlineStr">
        <is>
          <t>Andrzej Brylak / Yulia Dubasova (RMP: Andrzej Brylak)</t>
        </is>
      </c>
      <c r="C10" s="26" t="inlineStr">
        <is>
          <t>4.9</t>
        </is>
      </c>
      <c r="D10" s="8" t="inlineStr">
        <is>
          <t>1.6</t>
        </is>
      </c>
      <c r="E10" s="8" t="inlineStr">
        <is>
          <t>A+ (4) [11/12 reported]</t>
        </is>
      </c>
      <c r="F10" s="8" t="inlineStr">
        <is>
          <t>100%</t>
        </is>
      </c>
      <c r="G10" s="8" t="inlineStr">
        <is>
          <t>12</t>
        </is>
      </c>
    </row>
    <row r="11" hidden="1" outlineLevel="1">
      <c r="A11" s="10">
        <f>HYPERLINK("#'SPAN-290'!A1","SPAN-290")</f>
        <v/>
      </c>
      <c r="B11" s="89" t="inlineStr">
        <is>
          <t>Samuel Steinberg</t>
        </is>
      </c>
      <c r="C11" s="90" t="inlineStr">
        <is>
          <t>4.5</t>
        </is>
      </c>
      <c r="D11" s="11" t="inlineStr">
        <is>
          <t>2.2</t>
        </is>
      </c>
      <c r="E11" s="11" t="inlineStr">
        <is>
          <t>A- (3.74) [5/5 reported]</t>
        </is>
      </c>
      <c r="F11" s="11" t="inlineStr">
        <is>
          <t>100%</t>
        </is>
      </c>
      <c r="G11" s="11" t="inlineStr">
        <is>
          <t>5</t>
        </is>
      </c>
    </row>
    <row r="12" hidden="1" outlineLevel="1"/>
    <row r="13" hidden="1" outlineLevel="1">
      <c r="A13" s="13" t="inlineStr">
        <is>
          <t>Consensus - recurring student review themes</t>
        </is>
      </c>
    </row>
    <row r="14" hidden="1" outlineLevel="1" ht="135" customHeight="1">
      <c r="A14" s="104" t="inlineStr">
        <is>
          <t>BUAD-281</t>
        </is>
      </c>
      <c r="B14" s="105" t="inlineStr">
        <is>
          <t>George Braunegg</t>
        </is>
      </c>
      <c r="C14" s="8"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15" hidden="1" outlineLevel="1" ht="135" customHeight="1">
      <c r="A15" s="106" t="inlineStr">
        <is>
          <t>BUAD-304</t>
        </is>
      </c>
      <c r="B15" s="107" t="inlineStr">
        <is>
          <t>Christine El Haddad</t>
        </is>
      </c>
      <c r="C15" s="11"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16" hidden="1" outlineLevel="1" ht="165" customHeight="1">
      <c r="A16" s="104" t="inlineStr">
        <is>
          <t>ECON-351</t>
        </is>
      </c>
      <c r="B16" s="105" t="inlineStr">
        <is>
          <t>Alejandro Martínez-Marquina / João Ramos (RMP: Alejandro Martínez-Marquina)</t>
        </is>
      </c>
      <c r="C16" s="8"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17" hidden="1" outlineLevel="1" ht="135" customHeight="1">
      <c r="A17" s="106" t="inlineStr">
        <is>
          <t>HIST-103</t>
        </is>
      </c>
      <c r="B17" s="107" t="inlineStr">
        <is>
          <t>Lindsay O'Neill</t>
        </is>
      </c>
      <c r="C17" s="11"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18" hidden="1" outlineLevel="1" ht="165" customHeight="1">
      <c r="A18" s="104" t="inlineStr">
        <is>
          <t>JS-310</t>
        </is>
      </c>
      <c r="B18" s="105" t="inlineStr">
        <is>
          <t>Andrzej Brylak / Yulia Dubasova (RMP: Andrzej Brylak)</t>
        </is>
      </c>
      <c r="C18" s="8"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19" hidden="1" outlineLevel="1" ht="120" customHeight="1">
      <c r="A19" s="106" t="inlineStr">
        <is>
          <t>SPAN-290</t>
        </is>
      </c>
      <c r="B19" s="107" t="inlineStr">
        <is>
          <t>Samuel Steinberg</t>
        </is>
      </c>
      <c r="C19" s="11"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20" hidden="1" outlineLevel="1"/>
    <row r="21" hidden="1" outlineLevel="1">
      <c r="A21" s="13" t="inlineStr">
        <is>
          <t>Student reviews (Rate My Professors) - newest first</t>
        </is>
      </c>
    </row>
    <row r="22" hidden="1" outlineLevel="1">
      <c r="A22" s="6" t="inlineStr">
        <is>
          <t>Class</t>
        </is>
      </c>
      <c r="B22" s="6" t="inlineStr">
        <is>
          <t>Date</t>
        </is>
      </c>
      <c r="C22" s="6" t="inlineStr">
        <is>
          <t>Grade</t>
        </is>
      </c>
      <c r="D22" s="6" t="inlineStr">
        <is>
          <t>Q/D</t>
        </is>
      </c>
      <c r="E22" s="6" t="inlineStr">
        <is>
          <t>Review</t>
        </is>
      </c>
    </row>
    <row r="23" hidden="1" outlineLevel="1" ht="30" customHeight="1">
      <c r="A23" s="104" t="inlineStr">
        <is>
          <t>ECON-351</t>
        </is>
      </c>
      <c r="B23" s="105" t="inlineStr">
        <is>
          <t>2026-02-25</t>
        </is>
      </c>
      <c r="C23" s="105" t="inlineStr">
        <is>
          <t>A</t>
        </is>
      </c>
      <c r="D23" s="105" t="inlineStr">
        <is>
          <t>5/1</t>
        </is>
      </c>
      <c r="E23" s="8" t="inlineStr">
        <is>
          <t>The tests are easy if you just do the practice sets. He's great at explanations. [Amazing lectures, So many papers, Graded by few things]</t>
        </is>
      </c>
    </row>
    <row r="24" hidden="1" outlineLevel="1" ht="75" customHeight="1">
      <c r="A24" s="107" t="inlineStr"/>
      <c r="B24" s="107" t="inlineStr">
        <is>
          <t>2026-01-27</t>
        </is>
      </c>
      <c r="C24" s="107" t="inlineStr">
        <is>
          <t>C-</t>
        </is>
      </c>
      <c r="D24" s="107" t="inlineStr">
        <is>
          <t>5/4</t>
        </is>
      </c>
      <c r="E24" s="11"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25" hidden="1" outlineLevel="1" ht="60" customHeight="1">
      <c r="A25" s="105" t="inlineStr"/>
      <c r="B25" s="105" t="inlineStr">
        <is>
          <t>2026-01-07</t>
        </is>
      </c>
      <c r="C25" s="105" t="inlineStr">
        <is>
          <t>A</t>
        </is>
      </c>
      <c r="D25" s="105" t="inlineStr">
        <is>
          <t>4/3</t>
        </is>
      </c>
      <c r="E25" s="8"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26" hidden="1" outlineLevel="1" ht="75" customHeight="1">
      <c r="A26" s="107" t="inlineStr"/>
      <c r="B26" s="107" t="inlineStr">
        <is>
          <t>2026-01-06</t>
        </is>
      </c>
      <c r="C26" s="107" t="inlineStr">
        <is>
          <t>C-</t>
        </is>
      </c>
      <c r="D26" s="107" t="inlineStr">
        <is>
          <t>3/4</t>
        </is>
      </c>
      <c r="E26" s="11"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27" hidden="1" outlineLevel="1" ht="90" customHeight="1">
      <c r="A27" s="105" t="inlineStr"/>
      <c r="B27" s="105" t="inlineStr">
        <is>
          <t>2025-12-30</t>
        </is>
      </c>
      <c r="C27" s="105" t="inlineStr">
        <is>
          <t>A</t>
        </is>
      </c>
      <c r="D27" s="105" t="inlineStr">
        <is>
          <t>4/4</t>
        </is>
      </c>
      <c r="E27" s="8"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28" hidden="1" outlineLevel="1" ht="75" customHeight="1">
      <c r="A28" s="107" t="inlineStr"/>
      <c r="B28" s="107" t="inlineStr">
        <is>
          <t>2025-12-24</t>
        </is>
      </c>
      <c r="C28" s="107" t="inlineStr">
        <is>
          <t>A</t>
        </is>
      </c>
      <c r="D28" s="107" t="inlineStr">
        <is>
          <t>5/3</t>
        </is>
      </c>
      <c r="E28" s="11"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29" hidden="1" outlineLevel="1" ht="60" customHeight="1">
      <c r="A29" s="105" t="inlineStr"/>
      <c r="B29" s="105" t="inlineStr">
        <is>
          <t>2025-12-16</t>
        </is>
      </c>
      <c r="C29" s="105" t="inlineStr">
        <is>
          <t>A</t>
        </is>
      </c>
      <c r="D29" s="105" t="inlineStr">
        <is>
          <t>5/3</t>
        </is>
      </c>
      <c r="E29" s="8"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30" hidden="1" outlineLevel="1" ht="75" customHeight="1">
      <c r="A30" s="107" t="inlineStr"/>
      <c r="B30" s="107" t="inlineStr">
        <is>
          <t>2025-12-11</t>
        </is>
      </c>
      <c r="C30" s="107" t="inlineStr">
        <is>
          <t>Not sure yet</t>
        </is>
      </c>
      <c r="D30" s="107" t="inlineStr">
        <is>
          <t>5/3</t>
        </is>
      </c>
      <c r="E30" s="11"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31" hidden="1" outlineLevel="1" ht="75" customHeight="1">
      <c r="A31" s="105" t="inlineStr"/>
      <c r="B31" s="105" t="inlineStr">
        <is>
          <t>2025-12-05</t>
        </is>
      </c>
      <c r="C31" s="105" t="inlineStr">
        <is>
          <t>Drop/Withdrawal</t>
        </is>
      </c>
      <c r="D31" s="105" t="inlineStr">
        <is>
          <t>1/5</t>
        </is>
      </c>
      <c r="E31" s="8"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32" hidden="1" outlineLevel="1" ht="60" customHeight="1">
      <c r="A32" s="107" t="inlineStr"/>
      <c r="B32" s="107" t="inlineStr">
        <is>
          <t>2025-12-04</t>
        </is>
      </c>
      <c r="C32" s="107" t="inlineStr">
        <is>
          <t>Not sure yet</t>
        </is>
      </c>
      <c r="D32" s="107" t="inlineStr">
        <is>
          <t>1/5</t>
        </is>
      </c>
      <c r="E32" s="11" t="inlineStr">
        <is>
          <t>- Genuinely moves at the speed of light - Is accessible outside of class, but truly have to grind for an A - Exams are super hard, homeworks are free - Professor is a bit condescending but means well [Lecture heavy, Test heavy, Graded by few things]</t>
        </is>
      </c>
    </row>
    <row r="33" hidden="1" outlineLevel="1" ht="45" customHeight="1">
      <c r="A33" s="105" t="inlineStr"/>
      <c r="B33" s="105" t="inlineStr">
        <is>
          <t>2025-11-17</t>
        </is>
      </c>
      <c r="C33" s="105" t="inlineStr">
        <is>
          <t>Not sure yet</t>
        </is>
      </c>
      <c r="D33" s="105" t="inlineStr">
        <is>
          <t>3/4</t>
        </is>
      </c>
      <c r="E33" s="8" t="inlineStr">
        <is>
          <t>His accent and super fast pace of the class/lecture make it so hard to understand. The class is already hard and the speed of the lectures make this so hard [Lecture heavy, Graded by few things]</t>
        </is>
      </c>
    </row>
    <row r="34" hidden="1" outlineLevel="1" ht="75" customHeight="1">
      <c r="A34" s="107" t="inlineStr"/>
      <c r="B34" s="107" t="inlineStr">
        <is>
          <t>2025-10-16</t>
        </is>
      </c>
      <c r="C34" s="107" t="inlineStr">
        <is>
          <t>Not sure yet</t>
        </is>
      </c>
      <c r="D34" s="107" t="inlineStr">
        <is>
          <t>5/3</t>
        </is>
      </c>
      <c r="E34" s="11"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35" hidden="1" outlineLevel="1" ht="30" customHeight="1">
      <c r="A35" s="105" t="inlineStr"/>
      <c r="B35" s="105" t="inlineStr">
        <is>
          <t>2025-10-15</t>
        </is>
      </c>
      <c r="C35" s="105" t="inlineStr">
        <is>
          <t>-</t>
        </is>
      </c>
      <c r="D35" s="105" t="inlineStr">
        <is>
          <t>5/2</t>
        </is>
      </c>
      <c r="E35" s="8" t="inlineStr">
        <is>
          <t>Fantastic Professor. Easy looking at. Funny guy. Muy bien</t>
        </is>
      </c>
    </row>
    <row r="36" hidden="1" outlineLevel="1" ht="45" customHeight="1">
      <c r="A36" s="107" t="inlineStr"/>
      <c r="B36" s="107" t="inlineStr">
        <is>
          <t>2025-10-06</t>
        </is>
      </c>
      <c r="C36" s="107" t="inlineStr">
        <is>
          <t>Not sure yet</t>
        </is>
      </c>
      <c r="D36" s="107" t="inlineStr">
        <is>
          <t>4/2</t>
        </is>
      </c>
      <c r="E36" s="11" t="inlineStr">
        <is>
          <t>Talks too fast and is hard to understand because of his accent. He mostly reads off the slides. But fun classes and passionate lecturer who encourages questions. He also uses real life examples which is useful.</t>
        </is>
      </c>
    </row>
    <row r="37" hidden="1" outlineLevel="1" ht="60" customHeight="1">
      <c r="A37" s="105" t="inlineStr"/>
      <c r="B37" s="105" t="inlineStr">
        <is>
          <t>2025-10-06</t>
        </is>
      </c>
      <c r="C37" s="105" t="inlineStr">
        <is>
          <t>Not sure yet</t>
        </is>
      </c>
      <c r="D37" s="105" t="inlineStr">
        <is>
          <t>1/4</t>
        </is>
      </c>
      <c r="E37" s="8"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38" hidden="1" outlineLevel="1" ht="45" customHeight="1">
      <c r="A38" s="107" t="inlineStr"/>
      <c r="B38" s="107" t="inlineStr">
        <is>
          <t>2025-10-06</t>
        </is>
      </c>
      <c r="C38" s="107" t="inlineStr">
        <is>
          <t>Not sure yet</t>
        </is>
      </c>
      <c r="D38" s="107" t="inlineStr">
        <is>
          <t>5/4</t>
        </is>
      </c>
      <c r="E38" s="11" t="inlineStr">
        <is>
          <t>no glaze, he's a really good professor and explained concepts very well. Would take him again every single time if I could choose. [Amazing lectures, Inspirational, Caring]</t>
        </is>
      </c>
    </row>
    <row r="39" hidden="1" outlineLevel="1" ht="45" customHeight="1">
      <c r="A39" s="105" t="inlineStr"/>
      <c r="B39" s="105" t="inlineStr">
        <is>
          <t>2025-06-25</t>
        </is>
      </c>
      <c r="C39" s="105" t="inlineStr">
        <is>
          <t>A</t>
        </is>
      </c>
      <c r="D39" s="105" t="inlineStr">
        <is>
          <t>5/2</t>
        </is>
      </c>
      <c r="E39" s="8" t="inlineStr">
        <is>
          <t>Best professor I've had at USC. Took his econ351 class in fall 2024 and learned so much. Class is on Marshall curve so its competitive to get an A, but it wasn't that hard. [Inspirational, Lecture heavy, Graded by few things]</t>
        </is>
      </c>
    </row>
    <row r="40" hidden="1" outlineLevel="1" ht="75" customHeight="1">
      <c r="A40" s="107" t="inlineStr"/>
      <c r="B40" s="107" t="inlineStr">
        <is>
          <t>2025-05-30</t>
        </is>
      </c>
      <c r="C40" s="107" t="inlineStr">
        <is>
          <t>A</t>
        </is>
      </c>
      <c r="D40" s="107" t="inlineStr">
        <is>
          <t>5/2</t>
        </is>
      </c>
      <c r="E40" s="11"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41" hidden="1" outlineLevel="1" ht="60" customHeight="1">
      <c r="A41" s="105" t="inlineStr"/>
      <c r="B41" s="105" t="inlineStr">
        <is>
          <t>2025-05-17</t>
        </is>
      </c>
      <c r="C41" s="105" t="inlineStr">
        <is>
          <t>A</t>
        </is>
      </c>
      <c r="D41" s="105" t="inlineStr">
        <is>
          <t>5/2</t>
        </is>
      </c>
      <c r="E41" s="8"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42" hidden="1" outlineLevel="1" ht="75" customHeight="1">
      <c r="A42" s="107" t="inlineStr"/>
      <c r="B42" s="107" t="inlineStr">
        <is>
          <t>2025-05-01</t>
        </is>
      </c>
      <c r="C42" s="107" t="inlineStr">
        <is>
          <t>B-</t>
        </is>
      </c>
      <c r="D42" s="107" t="inlineStr">
        <is>
          <t>2/5</t>
        </is>
      </c>
      <c r="E42" s="11"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43" hidden="1" outlineLevel="1" ht="30" customHeight="1">
      <c r="A43" s="105" t="inlineStr"/>
      <c r="B43" s="105" t="inlineStr">
        <is>
          <t>2025-01-29</t>
        </is>
      </c>
      <c r="C43" s="105" t="inlineStr">
        <is>
          <t>Not sure yet</t>
        </is>
      </c>
      <c r="D43" s="105" t="inlineStr">
        <is>
          <t>5/5</t>
        </is>
      </c>
      <c r="E43" s="8" t="inlineStr">
        <is>
          <t>He's so easy to look at&amp;#8230; take him [Tough grader, EXTRA CREDIT, Amazing lectures]</t>
        </is>
      </c>
    </row>
    <row r="44" hidden="1" outlineLevel="1" ht="75" customHeight="1">
      <c r="A44" s="107" t="inlineStr"/>
      <c r="B44" s="107" t="inlineStr">
        <is>
          <t>2025-01-18</t>
        </is>
      </c>
      <c r="C44" s="107" t="inlineStr">
        <is>
          <t>A</t>
        </is>
      </c>
      <c r="D44" s="107" t="inlineStr">
        <is>
          <t>5/2</t>
        </is>
      </c>
      <c r="E44" s="11"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45" hidden="1" outlineLevel="1" ht="60" customHeight="1">
      <c r="A45" s="105" t="inlineStr"/>
      <c r="B45" s="105" t="inlineStr">
        <is>
          <t>2025-01-10</t>
        </is>
      </c>
      <c r="C45" s="105" t="inlineStr">
        <is>
          <t>B</t>
        </is>
      </c>
      <c r="D45" s="105" t="inlineStr">
        <is>
          <t>2/4</t>
        </is>
      </c>
      <c r="E45" s="8"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46" hidden="1" outlineLevel="1" ht="60" customHeight="1">
      <c r="A46" s="107" t="inlineStr"/>
      <c r="B46" s="107" t="inlineStr">
        <is>
          <t>2025-01-02</t>
        </is>
      </c>
      <c r="C46" s="107" t="inlineStr">
        <is>
          <t>Not sure yet</t>
        </is>
      </c>
      <c r="D46" s="107" t="inlineStr">
        <is>
          <t>3/5</t>
        </is>
      </c>
      <c r="E46" s="11"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47" hidden="1" outlineLevel="1" ht="75" customHeight="1">
      <c r="A47" s="105" t="inlineStr"/>
      <c r="B47" s="105" t="inlineStr">
        <is>
          <t>2024-12-28</t>
        </is>
      </c>
      <c r="C47" s="105" t="inlineStr">
        <is>
          <t>A</t>
        </is>
      </c>
      <c r="D47" s="105" t="inlineStr">
        <is>
          <t>5/3</t>
        </is>
      </c>
      <c r="E47" s="8"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48" hidden="1" outlineLevel="1" ht="30" customHeight="1">
      <c r="A48" s="107" t="inlineStr"/>
      <c r="B48" s="107" t="inlineStr">
        <is>
          <t>2024-12-21</t>
        </is>
      </c>
      <c r="C48" s="107" t="inlineStr">
        <is>
          <t>A</t>
        </is>
      </c>
      <c r="D48" s="107" t="inlineStr">
        <is>
          <t>5/3</t>
        </is>
      </c>
      <c r="E48" s="11" t="inlineStr">
        <is>
          <t>Awesome professor. Lectures are interesting and exams are very similar to practice tests. [Amazing lectures, Clear grading criteria, Graded by few things]</t>
        </is>
      </c>
    </row>
    <row r="49" hidden="1" outlineLevel="1" ht="75" customHeight="1">
      <c r="A49" s="105" t="inlineStr"/>
      <c r="B49" s="105" t="inlineStr">
        <is>
          <t>2024-12-21</t>
        </is>
      </c>
      <c r="C49" s="105" t="inlineStr">
        <is>
          <t>B+</t>
        </is>
      </c>
      <c r="D49" s="105" t="inlineStr">
        <is>
          <t>4/5</t>
        </is>
      </c>
      <c r="E49" s="8"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50" hidden="1" outlineLevel="1" ht="75" customHeight="1">
      <c r="A50" s="107" t="inlineStr"/>
      <c r="B50" s="107" t="inlineStr">
        <is>
          <t>2024-12-20</t>
        </is>
      </c>
      <c r="C50" s="107" t="inlineStr">
        <is>
          <t>A</t>
        </is>
      </c>
      <c r="D50" s="107" t="inlineStr">
        <is>
          <t>5/3</t>
        </is>
      </c>
      <c r="E50" s="11"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51" hidden="1" outlineLevel="1" ht="45" customHeight="1">
      <c r="A51" s="105" t="inlineStr"/>
      <c r="B51" s="105" t="inlineStr">
        <is>
          <t>2024-12-20</t>
        </is>
      </c>
      <c r="C51" s="105" t="inlineStr">
        <is>
          <t>A</t>
        </is>
      </c>
      <c r="D51" s="105" t="inlineStr">
        <is>
          <t>5/3</t>
        </is>
      </c>
      <c r="E51" s="8" t="inlineStr">
        <is>
          <t>Amazing professor! He includes real-world applications, which helps with understanding. And, I thought the class aligned with what he shared on the first day. Overall could not recommend more! [Amazing lectures, Caring]</t>
        </is>
      </c>
    </row>
    <row r="52" hidden="1" outlineLevel="1" ht="60" customHeight="1">
      <c r="A52" s="107" t="inlineStr"/>
      <c r="B52" s="107" t="inlineStr">
        <is>
          <t>2024-12-19</t>
        </is>
      </c>
      <c r="C52" s="107" t="inlineStr">
        <is>
          <t>A</t>
        </is>
      </c>
      <c r="D52" s="107" t="inlineStr">
        <is>
          <t>5/2</t>
        </is>
      </c>
      <c r="E52" s="11"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53" hidden="1" outlineLevel="1" ht="75" customHeight="1">
      <c r="A53" s="105" t="inlineStr"/>
      <c r="B53" s="105" t="inlineStr">
        <is>
          <t>2024-12-05</t>
        </is>
      </c>
      <c r="C53" s="105" t="inlineStr">
        <is>
          <t>A</t>
        </is>
      </c>
      <c r="D53" s="105" t="inlineStr">
        <is>
          <t>5/3</t>
        </is>
      </c>
      <c r="E53" s="8"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54" hidden="1" outlineLevel="1" ht="75" customHeight="1">
      <c r="A54" s="107" t="inlineStr"/>
      <c r="B54" s="107" t="inlineStr">
        <is>
          <t>2024-12-05</t>
        </is>
      </c>
      <c r="C54" s="107" t="inlineStr">
        <is>
          <t>-</t>
        </is>
      </c>
      <c r="D54" s="107" t="inlineStr">
        <is>
          <t>5/2</t>
        </is>
      </c>
      <c r="E54" s="11"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55" hidden="1" outlineLevel="1" ht="60" customHeight="1">
      <c r="A55" s="105" t="inlineStr"/>
      <c r="B55" s="105" t="inlineStr">
        <is>
          <t>2024-12-04</t>
        </is>
      </c>
      <c r="C55" s="105" t="inlineStr">
        <is>
          <t>Not sure yet</t>
        </is>
      </c>
      <c r="D55" s="105" t="inlineStr">
        <is>
          <t>5/1</t>
        </is>
      </c>
      <c r="E55" s="8" t="inlineStr">
        <is>
          <t>Professor Alejandro is awesome. His lecture is inspirational and well-explained. I love the vibe of his class, and the tests are always easy as long as you finish the sample problems. [Amazing lectures, Inspirational, Accessible outside class]</t>
        </is>
      </c>
    </row>
    <row r="56" hidden="1" outlineLevel="1" ht="75" customHeight="1">
      <c r="A56" s="107" t="inlineStr"/>
      <c r="B56" s="107" t="inlineStr">
        <is>
          <t>2024-12-03</t>
        </is>
      </c>
      <c r="C56" s="107" t="inlineStr">
        <is>
          <t>Not sure yet</t>
        </is>
      </c>
      <c r="D56" s="107" t="inlineStr">
        <is>
          <t>5/3</t>
        </is>
      </c>
      <c r="E56" s="11"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57" hidden="1" outlineLevel="1" ht="75" customHeight="1">
      <c r="A57" s="105" t="inlineStr"/>
      <c r="B57" s="105" t="inlineStr">
        <is>
          <t>2024-11-13</t>
        </is>
      </c>
      <c r="C57" s="105" t="inlineStr">
        <is>
          <t>A</t>
        </is>
      </c>
      <c r="D57" s="105" t="inlineStr">
        <is>
          <t>5/3</t>
        </is>
      </c>
      <c r="E57" s="8"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58" hidden="1" outlineLevel="1" ht="45" customHeight="1">
      <c r="A58" s="107" t="inlineStr"/>
      <c r="B58" s="107" t="inlineStr">
        <is>
          <t>2024-11-13</t>
        </is>
      </c>
      <c r="C58" s="107" t="inlineStr">
        <is>
          <t>Not sure yet</t>
        </is>
      </c>
      <c r="D58" s="107" t="inlineStr">
        <is>
          <t>5/2</t>
        </is>
      </c>
      <c r="E58" s="11" t="inlineStr">
        <is>
          <t>&amp;#128016;&amp;#128016;&amp;#128016;&amp;#128016;&amp;#128016;&amp;#128016;&amp;#128016;&amp;#128016;&amp;#128016;&amp;#128016;&amp;#128016;&amp;#128016;&amp;#128016;&amp;#128016;&amp;#128016;&amp;#128016;&amp;#128016;&amp;#128016;&amp;#128016;&amp;#128016;</t>
        </is>
      </c>
    </row>
    <row r="59" hidden="1" outlineLevel="1" ht="90" customHeight="1">
      <c r="A59" s="105" t="inlineStr"/>
      <c r="B59" s="105" t="inlineStr">
        <is>
          <t>2024-11-11</t>
        </is>
      </c>
      <c r="C59" s="105" t="inlineStr">
        <is>
          <t>-</t>
        </is>
      </c>
      <c r="D59" s="105" t="inlineStr">
        <is>
          <t>5/3</t>
        </is>
      </c>
      <c r="E59" s="8"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60" hidden="1" outlineLevel="1" ht="30" customHeight="1">
      <c r="A60" s="107" t="inlineStr"/>
      <c r="B60" s="107" t="inlineStr">
        <is>
          <t>2024-10-22</t>
        </is>
      </c>
      <c r="C60" s="107" t="inlineStr">
        <is>
          <t>A</t>
        </is>
      </c>
      <c r="D60" s="107" t="inlineStr">
        <is>
          <t>5/3</t>
        </is>
      </c>
      <c r="E60" s="11" t="inlineStr">
        <is>
          <t>Exam questions are very similar to the practice sets he provides. Wants you to do well. [Caring, Test heavy, Graded by few things]</t>
        </is>
      </c>
    </row>
    <row r="61" hidden="1" outlineLevel="1" ht="75" customHeight="1">
      <c r="A61" s="105" t="inlineStr"/>
      <c r="B61" s="105" t="inlineStr">
        <is>
          <t>2024-08-01</t>
        </is>
      </c>
      <c r="C61" s="105" t="inlineStr">
        <is>
          <t>A-</t>
        </is>
      </c>
      <c r="D61" s="105" t="inlineStr">
        <is>
          <t>5/2</t>
        </is>
      </c>
      <c r="E61" s="8"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62" hidden="1" outlineLevel="1" ht="60" customHeight="1">
      <c r="A62" s="107" t="inlineStr"/>
      <c r="B62" s="107" t="inlineStr">
        <is>
          <t>2024-06-22</t>
        </is>
      </c>
      <c r="C62" s="107" t="inlineStr">
        <is>
          <t>A</t>
        </is>
      </c>
      <c r="D62" s="107" t="inlineStr">
        <is>
          <t>5/3</t>
        </is>
      </c>
      <c r="E62" s="11"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63" hidden="1" outlineLevel="1" ht="45" customHeight="1">
      <c r="A63" s="105" t="inlineStr"/>
      <c r="B63" s="105" t="inlineStr">
        <is>
          <t>2024-06-19</t>
        </is>
      </c>
      <c r="C63" s="105" t="inlineStr">
        <is>
          <t>A-</t>
        </is>
      </c>
      <c r="D63" s="105" t="inlineStr">
        <is>
          <t>5/3</t>
        </is>
      </c>
      <c r="E63" s="8" t="inlineStr">
        <is>
          <t>I never went to his office hours and skipped around 70% of classes and still got a decent grade. He is a good lecturer and grades aren't hard to get. PLEASE do practice questions because exam questions are 80% based on them.</t>
        </is>
      </c>
    </row>
    <row r="64" hidden="1" outlineLevel="1" ht="75" customHeight="1">
      <c r="A64" s="107" t="inlineStr"/>
      <c r="B64" s="107" t="inlineStr">
        <is>
          <t>2024-05-28</t>
        </is>
      </c>
      <c r="C64" s="107" t="inlineStr">
        <is>
          <t>A</t>
        </is>
      </c>
      <c r="D64" s="107" t="inlineStr">
        <is>
          <t>5/2</t>
        </is>
      </c>
      <c r="E64" s="11"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65" hidden="1" outlineLevel="1" ht="75" customHeight="1">
      <c r="A65" s="105" t="inlineStr"/>
      <c r="B65" s="105" t="inlineStr">
        <is>
          <t>2024-05-19</t>
        </is>
      </c>
      <c r="C65" s="105" t="inlineStr">
        <is>
          <t>A</t>
        </is>
      </c>
      <c r="D65" s="105" t="inlineStr">
        <is>
          <t>5/1</t>
        </is>
      </c>
      <c r="E65" s="8"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66" hidden="1" outlineLevel="1" ht="75" customHeight="1">
      <c r="A66" s="107" t="inlineStr"/>
      <c r="B66" s="107" t="inlineStr">
        <is>
          <t>2024-05-10</t>
        </is>
      </c>
      <c r="C66" s="107" t="inlineStr">
        <is>
          <t>A</t>
        </is>
      </c>
      <c r="D66" s="107" t="inlineStr">
        <is>
          <t>5/3</t>
        </is>
      </c>
      <c r="E66" s="11"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67" hidden="1" outlineLevel="1" ht="90" customHeight="1">
      <c r="A67" s="105" t="inlineStr"/>
      <c r="B67" s="105" t="inlineStr">
        <is>
          <t>2024-05-02</t>
        </is>
      </c>
      <c r="C67" s="105" t="inlineStr">
        <is>
          <t>A+</t>
        </is>
      </c>
      <c r="D67" s="105" t="inlineStr">
        <is>
          <t>5/2</t>
        </is>
      </c>
      <c r="E67" s="8"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68" hidden="1" outlineLevel="1" ht="30" customHeight="1">
      <c r="A68" s="107" t="inlineStr"/>
      <c r="B68" s="107" t="inlineStr">
        <is>
          <t>2024-05-02</t>
        </is>
      </c>
      <c r="C68" s="107" t="inlineStr">
        <is>
          <t>A+</t>
        </is>
      </c>
      <c r="D68" s="107" t="inlineStr">
        <is>
          <t>5/3</t>
        </is>
      </c>
      <c r="E68" s="11" t="inlineStr">
        <is>
          <t>351 is a hard class and he's easily the best teacher for it. [Caring, Test heavy, Accessible outside class]</t>
        </is>
      </c>
    </row>
    <row r="69" hidden="1" outlineLevel="1" ht="75" customHeight="1">
      <c r="A69" s="105" t="inlineStr"/>
      <c r="B69" s="105" t="inlineStr">
        <is>
          <t>2024-05-02</t>
        </is>
      </c>
      <c r="C69" s="105" t="inlineStr">
        <is>
          <t>A</t>
        </is>
      </c>
      <c r="D69" s="105" t="inlineStr">
        <is>
          <t>5/3</t>
        </is>
      </c>
      <c r="E69" s="8"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70" hidden="1" outlineLevel="1" ht="45" customHeight="1">
      <c r="A70" s="107" t="inlineStr"/>
      <c r="B70" s="107" t="inlineStr">
        <is>
          <t>2024-04-25</t>
        </is>
      </c>
      <c r="C70" s="107" t="inlineStr">
        <is>
          <t>Not sure yet</t>
        </is>
      </c>
      <c r="D70" s="107" t="inlineStr">
        <is>
          <t>5/3</t>
        </is>
      </c>
      <c r="E70" s="11" t="inlineStr">
        <is>
          <t>Tests are very similar to practice problems, and lectures are easy to follow. If you show up to class it is very manageable! [Amazing lectures, Clear grading criteria, Gives good feedback]</t>
        </is>
      </c>
    </row>
    <row r="71" hidden="1" outlineLevel="1" ht="75" customHeight="1">
      <c r="A71" s="105" t="inlineStr"/>
      <c r="B71" s="105" t="inlineStr">
        <is>
          <t>2024-04-16</t>
        </is>
      </c>
      <c r="C71" s="105" t="inlineStr">
        <is>
          <t>Not sure yet</t>
        </is>
      </c>
      <c r="D71" s="105" t="inlineStr">
        <is>
          <t>5/3</t>
        </is>
      </c>
      <c r="E71" s="8"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72" hidden="1" outlineLevel="1" ht="60" customHeight="1">
      <c r="A72" s="107" t="inlineStr"/>
      <c r="B72" s="107" t="inlineStr">
        <is>
          <t>2024-04-15</t>
        </is>
      </c>
      <c r="C72" s="107" t="inlineStr">
        <is>
          <t>A</t>
        </is>
      </c>
      <c r="D72" s="107" t="inlineStr">
        <is>
          <t>5/2</t>
        </is>
      </c>
      <c r="E72" s="11"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73" hidden="1" outlineLevel="1" ht="75" customHeight="1">
      <c r="A73" s="105" t="inlineStr"/>
      <c r="B73" s="105" t="inlineStr">
        <is>
          <t>2024-04-02</t>
        </is>
      </c>
      <c r="C73" s="105" t="inlineStr">
        <is>
          <t>A</t>
        </is>
      </c>
      <c r="D73" s="105" t="inlineStr">
        <is>
          <t>5/4</t>
        </is>
      </c>
      <c r="E73" s="8"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74" hidden="1" outlineLevel="1" ht="30" customHeight="1">
      <c r="A74" s="107" t="inlineStr"/>
      <c r="B74" s="107" t="inlineStr">
        <is>
          <t>2023-10-25</t>
        </is>
      </c>
      <c r="C74" s="107" t="inlineStr">
        <is>
          <t>A</t>
        </is>
      </c>
      <c r="D74" s="107" t="inlineStr">
        <is>
          <t>5/1</t>
        </is>
      </c>
      <c r="E74" s="11" t="inlineStr">
        <is>
          <t>great professor with clear lectures, easy homework and tests [Amazing lectures, Caring, Respected]</t>
        </is>
      </c>
    </row>
    <row r="75" hidden="1" outlineLevel="1" ht="75" customHeight="1">
      <c r="A75" s="105" t="inlineStr"/>
      <c r="B75" s="105" t="inlineStr">
        <is>
          <t>2023-06-21</t>
        </is>
      </c>
      <c r="C75" s="105" t="inlineStr">
        <is>
          <t>A</t>
        </is>
      </c>
      <c r="D75" s="105" t="inlineStr">
        <is>
          <t>5/3</t>
        </is>
      </c>
      <c r="E75" s="8"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76" hidden="1" outlineLevel="1" ht="75" customHeight="1">
      <c r="A76" s="107" t="inlineStr"/>
      <c r="B76" s="107" t="inlineStr">
        <is>
          <t>2023-05-26</t>
        </is>
      </c>
      <c r="C76" s="107" t="inlineStr">
        <is>
          <t>B</t>
        </is>
      </c>
      <c r="D76" s="107" t="inlineStr">
        <is>
          <t>5/5</t>
        </is>
      </c>
      <c r="E76" s="11"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77" hidden="1" outlineLevel="1" ht="60" customHeight="1">
      <c r="A77" s="105" t="inlineStr"/>
      <c r="B77" s="105" t="inlineStr">
        <is>
          <t>2023-05-09</t>
        </is>
      </c>
      <c r="C77" s="105" t="inlineStr">
        <is>
          <t>Not sure yet</t>
        </is>
      </c>
      <c r="D77" s="105" t="inlineStr">
        <is>
          <t>5/3</t>
        </is>
      </c>
      <c r="E77" s="8"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78" hidden="1" outlineLevel="1" ht="90" customHeight="1">
      <c r="A78" s="107" t="inlineStr"/>
      <c r="B78" s="107" t="inlineStr">
        <is>
          <t>2023-05-06</t>
        </is>
      </c>
      <c r="C78" s="107" t="inlineStr">
        <is>
          <t>-</t>
        </is>
      </c>
      <c r="D78" s="107" t="inlineStr">
        <is>
          <t>5/4</t>
        </is>
      </c>
      <c r="E78" s="11"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79" hidden="1" outlineLevel="1" ht="75" customHeight="1">
      <c r="A79" s="105" t="inlineStr"/>
      <c r="B79" s="105" t="inlineStr">
        <is>
          <t>2023-04-26</t>
        </is>
      </c>
      <c r="C79" s="105" t="inlineStr">
        <is>
          <t>A</t>
        </is>
      </c>
      <c r="D79" s="105" t="inlineStr">
        <is>
          <t>5/2</t>
        </is>
      </c>
      <c r="E79" s="8"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80" hidden="1" outlineLevel="1" ht="75" customHeight="1">
      <c r="A80" s="107" t="inlineStr"/>
      <c r="B80" s="107" t="inlineStr">
        <is>
          <t>2023-04-26</t>
        </is>
      </c>
      <c r="C80" s="107" t="inlineStr">
        <is>
          <t>A</t>
        </is>
      </c>
      <c r="D80" s="107" t="inlineStr">
        <is>
          <t>5/3</t>
        </is>
      </c>
      <c r="E80" s="11"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81" hidden="1" outlineLevel="1" ht="75" customHeight="1">
      <c r="A81" s="105" t="inlineStr"/>
      <c r="B81" s="105" t="inlineStr">
        <is>
          <t>2023-04-06</t>
        </is>
      </c>
      <c r="C81" s="105" t="inlineStr">
        <is>
          <t>-</t>
        </is>
      </c>
      <c r="D81" s="105" t="inlineStr">
        <is>
          <t>5/3</t>
        </is>
      </c>
      <c r="E81" s="8"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82" hidden="1" outlineLevel="1" ht="60" customHeight="1">
      <c r="A82" s="107" t="inlineStr"/>
      <c r="B82" s="107" t="inlineStr">
        <is>
          <t>2023-04-06</t>
        </is>
      </c>
      <c r="C82" s="107" t="inlineStr">
        <is>
          <t>A</t>
        </is>
      </c>
      <c r="D82" s="107" t="inlineStr">
        <is>
          <t>5/4</t>
        </is>
      </c>
      <c r="E82" s="11" t="inlineStr">
        <is>
          <t>Thought he was going to be hard since he was new, but ended up being one of the most chill professors I've had. Makes homework harder than the exams, but uses examples similar to slides. Keeps lectures entertaining. [Amazing lectures, Caring]</t>
        </is>
      </c>
    </row>
    <row r="83" hidden="1" outlineLevel="1" ht="75" customHeight="1">
      <c r="A83" s="105" t="inlineStr"/>
      <c r="B83" s="105" t="inlineStr">
        <is>
          <t>2023-04-05</t>
        </is>
      </c>
      <c r="C83" s="105" t="inlineStr">
        <is>
          <t>Incomplete</t>
        </is>
      </c>
      <c r="D83" s="105" t="inlineStr">
        <is>
          <t>5/5</t>
        </is>
      </c>
      <c r="E83" s="8"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84" hidden="1" outlineLevel="1" ht="75" customHeight="1">
      <c r="A84" s="106" t="inlineStr">
        <is>
          <t>JS-310</t>
        </is>
      </c>
      <c r="B84" s="107" t="inlineStr">
        <is>
          <t>2026-04-29</t>
        </is>
      </c>
      <c r="C84" s="107" t="inlineStr">
        <is>
          <t>A</t>
        </is>
      </c>
      <c r="D84" s="107" t="inlineStr">
        <is>
          <t>5/2</t>
        </is>
      </c>
      <c r="E84" s="11"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85" hidden="1" outlineLevel="1" ht="45" customHeight="1">
      <c r="A85" s="105" t="inlineStr"/>
      <c r="B85" s="105" t="inlineStr">
        <is>
          <t>2025-12-03</t>
        </is>
      </c>
      <c r="C85" s="105" t="inlineStr">
        <is>
          <t>A+</t>
        </is>
      </c>
      <c r="D85" s="105" t="inlineStr">
        <is>
          <t>5/1</t>
        </is>
      </c>
      <c r="E85" s="8" t="inlineStr">
        <is>
          <t>I love him; he is truly the best. He is so passionate about what he teaches, and he cares for every single student. I recommend him to ANY and EVERYONE. [Inspirational, Hilarious, Caring]</t>
        </is>
      </c>
    </row>
    <row r="86" hidden="1" outlineLevel="1" ht="75" customHeight="1">
      <c r="A86" s="107" t="inlineStr"/>
      <c r="B86" s="107" t="inlineStr">
        <is>
          <t>2024-12-17</t>
        </is>
      </c>
      <c r="C86" s="107" t="inlineStr">
        <is>
          <t>A</t>
        </is>
      </c>
      <c r="D86" s="107" t="inlineStr">
        <is>
          <t>4/1</t>
        </is>
      </c>
      <c r="E86" s="11"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87" hidden="1" outlineLevel="1" ht="90" customHeight="1">
      <c r="A87" s="105" t="inlineStr"/>
      <c r="B87" s="105" t="inlineStr">
        <is>
          <t>2024-05-22</t>
        </is>
      </c>
      <c r="C87" s="105" t="inlineStr">
        <is>
          <t>A</t>
        </is>
      </c>
      <c r="D87" s="105" t="inlineStr">
        <is>
          <t>5/1</t>
        </is>
      </c>
      <c r="E87" s="8"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88" hidden="1" outlineLevel="1" ht="60" customHeight="1">
      <c r="A88" s="107" t="inlineStr"/>
      <c r="B88" s="107" t="inlineStr">
        <is>
          <t>2024-05-15</t>
        </is>
      </c>
      <c r="C88" s="107" t="inlineStr">
        <is>
          <t>A</t>
        </is>
      </c>
      <c r="D88" s="107" t="inlineStr">
        <is>
          <t>5/2</t>
        </is>
      </c>
      <c r="E88" s="11"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89" hidden="1" outlineLevel="1" ht="75" customHeight="1">
      <c r="A89" s="105" t="inlineStr"/>
      <c r="B89" s="105" t="inlineStr">
        <is>
          <t>2024-02-13</t>
        </is>
      </c>
      <c r="C89" s="105" t="inlineStr">
        <is>
          <t>A</t>
        </is>
      </c>
      <c r="D89" s="105" t="inlineStr">
        <is>
          <t>5/2</t>
        </is>
      </c>
      <c r="E89" s="8"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90" hidden="1" outlineLevel="1" ht="75" customHeight="1">
      <c r="A90" s="107" t="inlineStr"/>
      <c r="B90" s="107" t="inlineStr">
        <is>
          <t>2023-11-04</t>
        </is>
      </c>
      <c r="C90" s="107" t="inlineStr">
        <is>
          <t>A+</t>
        </is>
      </c>
      <c r="D90" s="107" t="inlineStr">
        <is>
          <t>5/1</t>
        </is>
      </c>
      <c r="E90" s="11"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91" hidden="1" outlineLevel="1" ht="75" customHeight="1">
      <c r="A91" s="105" t="inlineStr"/>
      <c r="B91" s="105" t="inlineStr">
        <is>
          <t>2022-05-21</t>
        </is>
      </c>
      <c r="C91" s="105" t="inlineStr">
        <is>
          <t>A</t>
        </is>
      </c>
      <c r="D91" s="105" t="inlineStr">
        <is>
          <t>5/2</t>
        </is>
      </c>
      <c r="E91" s="8"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92" hidden="1" outlineLevel="1" ht="30" customHeight="1">
      <c r="A92" s="107" t="inlineStr"/>
      <c r="B92" s="107" t="inlineStr">
        <is>
          <t>2022-05-13</t>
        </is>
      </c>
      <c r="C92" s="107" t="inlineStr">
        <is>
          <t>A</t>
        </is>
      </c>
      <c r="D92" s="107" t="inlineStr">
        <is>
          <t>5/2</t>
        </is>
      </c>
      <c r="E92" s="11" t="inlineStr">
        <is>
          <t>Professor Brylak knows his stuff and is a very easy grader. [Amazing lectures, Clear grading criteria, Caring]</t>
        </is>
      </c>
    </row>
    <row r="93" hidden="1" outlineLevel="1" ht="75" customHeight="1">
      <c r="A93" s="105" t="inlineStr"/>
      <c r="B93" s="105" t="inlineStr">
        <is>
          <t>2022-04-28</t>
        </is>
      </c>
      <c r="C93" s="105" t="inlineStr">
        <is>
          <t>A+</t>
        </is>
      </c>
      <c r="D93" s="105" t="inlineStr">
        <is>
          <t>5/1</t>
        </is>
      </c>
      <c r="E93" s="8"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94" hidden="1" outlineLevel="1" ht="45" customHeight="1">
      <c r="A94" s="107" t="inlineStr"/>
      <c r="B94" s="107" t="inlineStr">
        <is>
          <t>2021-12-10</t>
        </is>
      </c>
      <c r="C94" s="107" t="inlineStr">
        <is>
          <t>-</t>
        </is>
      </c>
      <c r="D94" s="107" t="inlineStr">
        <is>
          <t>5/2</t>
        </is>
      </c>
      <c r="E94" s="11" t="inlineStr">
        <is>
          <t>Great professor! His lectures have a lot of tangents but he's very passionate about the subject so it makes it engaging. A decent amount of reading but easy grading and overall not too much work - a good GESM to take.</t>
        </is>
      </c>
    </row>
    <row r="95" hidden="1" outlineLevel="1" ht="30" customHeight="1">
      <c r="A95" s="105" t="inlineStr"/>
      <c r="B95" s="105" t="inlineStr">
        <is>
          <t>2021-12-02</t>
        </is>
      </c>
      <c r="C95" s="105" t="inlineStr">
        <is>
          <t>A</t>
        </is>
      </c>
      <c r="D95" s="105" t="inlineStr">
        <is>
          <t>5/2</t>
        </is>
      </c>
      <c r="E95" s="8" t="inlineStr">
        <is>
          <t>Genuinely a sweetheart and loves his classes [Amazing lectures, Lecture heavy, Caring]</t>
        </is>
      </c>
    </row>
    <row r="96" hidden="1" outlineLevel="1" ht="75" customHeight="1">
      <c r="A96" s="104" t="inlineStr">
        <is>
          <t>SPAN-290</t>
        </is>
      </c>
      <c r="B96" s="105" t="inlineStr">
        <is>
          <t>2026-07-13</t>
        </is>
      </c>
      <c r="C96" s="105" t="inlineStr">
        <is>
          <t>A</t>
        </is>
      </c>
      <c r="D96" s="105" t="inlineStr">
        <is>
          <t>5/2</t>
        </is>
      </c>
      <c r="E96" s="8"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97" hidden="1" outlineLevel="1" ht="60" customHeight="1">
      <c r="A97" s="107" t="inlineStr"/>
      <c r="B97" s="107" t="inlineStr">
        <is>
          <t>2024-05-18</t>
        </is>
      </c>
      <c r="C97" s="107" t="inlineStr">
        <is>
          <t>A</t>
        </is>
      </c>
      <c r="D97" s="107" t="inlineStr">
        <is>
          <t>5/2</t>
        </is>
      </c>
      <c r="E97" s="11"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98" hidden="1" outlineLevel="1" ht="75" customHeight="1">
      <c r="A98" s="105" t="inlineStr"/>
      <c r="B98" s="105" t="inlineStr">
        <is>
          <t>2020-12-16</t>
        </is>
      </c>
      <c r="C98" s="105" t="inlineStr">
        <is>
          <t>-</t>
        </is>
      </c>
      <c r="D98" s="105" t="inlineStr">
        <is>
          <t>5/4</t>
        </is>
      </c>
      <c r="E98" s="8"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99" hidden="1" outlineLevel="1" ht="45" customHeight="1">
      <c r="A99" s="107" t="inlineStr"/>
      <c r="B99" s="107" t="inlineStr">
        <is>
          <t>2017-01-11</t>
        </is>
      </c>
      <c r="C99" s="107" t="inlineStr">
        <is>
          <t>A-</t>
        </is>
      </c>
      <c r="D99" s="107" t="inlineStr">
        <is>
          <t>4/2</t>
        </is>
      </c>
      <c r="E99" s="11" t="inlineStr">
        <is>
          <t>He's great and speaks perfect Spanish. He isn't harsh if you don't speak perfectly or know every word. He grades pretty easily and I'm surprised I didn't get a solid A. Overall, would take him again. [GROUP PROJECTS]</t>
        </is>
      </c>
    </row>
    <row r="100" hidden="1" outlineLevel="1" ht="60" customHeight="1">
      <c r="A100" s="105" t="inlineStr"/>
      <c r="B100" s="105" t="inlineStr">
        <is>
          <t>2016-12-15</t>
        </is>
      </c>
      <c r="C100" s="105" t="inlineStr">
        <is>
          <t>A</t>
        </is>
      </c>
      <c r="D100" s="105" t="inlineStr">
        <is>
          <t>5/2</t>
        </is>
      </c>
      <c r="E100" s="8" t="inlineStr">
        <is>
          <t>A lot of reading (books), but lectures are very interesting. He is well-read and knows a lot of literature. Two papers and one presentation but he's an easy grader. Be prepared to discuss the books. [Get ready to read, Hilarious, Amazing lectures]</t>
        </is>
      </c>
    </row>
    <row r="101" hidden="1" outlineLevel="1" ht="60" customHeight="1">
      <c r="A101" s="107" t="inlineStr"/>
      <c r="B101" s="107" t="inlineStr">
        <is>
          <t>2016-04-22</t>
        </is>
      </c>
      <c r="C101" s="107" t="inlineStr">
        <is>
          <t>B</t>
        </is>
      </c>
      <c r="D101" s="107" t="inlineStr">
        <is>
          <t>2/1</t>
        </is>
      </c>
      <c r="E101" s="11"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02" hidden="1" outlineLevel="1"/>
    <row r="103" hidden="1" outlineLevel="1">
      <c r="A103" s="91" t="inlineStr">
        <is>
          <t>RMP data as of 2026-08-21. Source: ratemyprofessors.com. Avg reviewer grade = mean of self-reported letter grades (4.0 scale); not all reviewers report a grade.</t>
        </is>
      </c>
    </row>
    <row r="105" ht="28" customHeight="1">
      <c r="A105" s="4" t="inlineStr">
        <is>
          <t>Connect prep (e.g. BUAD-304 Personal Assessments) is ungraded class prep - not part of Participation or other graded categories.</t>
        </is>
      </c>
    </row>
    <row r="106" ht="32" customHeight="1">
      <c r="A106" s="5" t="inlineStr">
        <is>
          <t>Start here (graded): 2026-09-04 - ECON-351 - Homework: Homework 1 (Chapter 4) — Brightspace, due 11:59 pm</t>
        </is>
      </c>
    </row>
    <row r="108">
      <c r="A108" s="6" t="inlineStr">
        <is>
          <t>Class</t>
        </is>
      </c>
      <c r="B108" s="6" t="inlineStr">
        <is>
          <t>Reading</t>
        </is>
      </c>
      <c r="C108" s="6" t="inlineStr">
        <is>
          <t>Homework</t>
        </is>
      </c>
      <c r="D108" s="6" t="inlineStr">
        <is>
          <t>Papers</t>
        </is>
      </c>
      <c r="E108" s="6" t="inlineStr">
        <is>
          <t>Group Project</t>
        </is>
      </c>
      <c r="F108" s="6" t="inlineStr">
        <is>
          <t>External certs</t>
        </is>
      </c>
      <c r="G108" s="6" t="inlineStr">
        <is>
          <t>Connect prep</t>
        </is>
      </c>
      <c r="H108" s="6" t="inlineStr">
        <is>
          <t>First assignment</t>
        </is>
      </c>
      <c r="I108" s="6" t="inlineStr">
        <is>
          <t>Assign due</t>
        </is>
      </c>
      <c r="J108" s="6" t="inlineStr">
        <is>
          <t>First major</t>
        </is>
      </c>
      <c r="K108" s="6" t="inlineStr">
        <is>
          <t>Major due</t>
        </is>
      </c>
    </row>
    <row r="109">
      <c r="A109" s="7">
        <f>HYPERLINK("#'BUAD-281'!A1","BUAD-281")</f>
        <v/>
      </c>
      <c r="B109" s="8" t="inlineStr">
        <is>
          <t>Yes</t>
        </is>
      </c>
      <c r="C109" s="8" t="inlineStr">
        <is>
          <t>Yes</t>
        </is>
      </c>
      <c r="D109" s="8" t="inlineStr">
        <is>
          <t>-</t>
        </is>
      </c>
      <c r="E109" s="8" t="inlineStr">
        <is>
          <t>-</t>
        </is>
      </c>
      <c r="F109" s="9" t="inlineStr">
        <is>
          <t>LinkedIn Learning Excel Certification, Stukent Simternship</t>
        </is>
      </c>
      <c r="G109" s="8" t="inlineStr">
        <is>
          <t>-</t>
        </is>
      </c>
      <c r="H109" s="8" t="inlineStr">
        <is>
          <t>Class 5 (9/9) - 2-29, 2-30, 2-40; 15 Points</t>
        </is>
      </c>
      <c r="I109" s="8" t="inlineStr">
        <is>
          <t>2026-09-09</t>
        </is>
      </c>
      <c r="J109" s="8" t="inlineStr">
        <is>
          <t>Midterm 1</t>
        </is>
      </c>
      <c r="K109" s="8" t="inlineStr">
        <is>
          <t>2026-09-30</t>
        </is>
      </c>
    </row>
    <row r="110">
      <c r="A110" s="10">
        <f>HYPERLINK("#'BUAD-304'!A1","BUAD-304")</f>
        <v/>
      </c>
      <c r="B110" s="11" t="inlineStr">
        <is>
          <t>-</t>
        </is>
      </c>
      <c r="C110" s="11" t="inlineStr">
        <is>
          <t>Yes</t>
        </is>
      </c>
      <c r="D110" s="11" t="inlineStr">
        <is>
          <t>Final Reflection Paper, Team Project Paper</t>
        </is>
      </c>
      <c r="E110" s="11" t="inlineStr">
        <is>
          <t>Yes</t>
        </is>
      </c>
      <c r="F110" s="11" t="inlineStr">
        <is>
          <t>-</t>
        </is>
      </c>
      <c r="G110" s="12" t="inlineStr">
        <is>
          <t>Ungraded prep</t>
        </is>
      </c>
      <c r="H110" s="11" t="inlineStr">
        <is>
          <t>Connect: Self-Assessment 3.01 - What is my Big thinking</t>
        </is>
      </c>
      <c r="I110" s="11" t="inlineStr">
        <is>
          <t>2026-08-31</t>
        </is>
      </c>
      <c r="J110" s="11" t="inlineStr">
        <is>
          <t>Thomas Green Case Analysis Memo</t>
        </is>
      </c>
      <c r="K110" s="11" t="inlineStr">
        <is>
          <t>2026-09-16</t>
        </is>
      </c>
    </row>
    <row r="111">
      <c r="A111" s="7">
        <f>HYPERLINK("#'ECON-351'!A1","ECON-351")</f>
        <v/>
      </c>
      <c r="B111" s="8" t="inlineStr">
        <is>
          <t>Yes</t>
        </is>
      </c>
      <c r="C111" s="8" t="inlineStr">
        <is>
          <t>Yes</t>
        </is>
      </c>
      <c r="D111" s="8" t="inlineStr">
        <is>
          <t>-</t>
        </is>
      </c>
      <c r="E111" s="8" t="inlineStr">
        <is>
          <t>-</t>
        </is>
      </c>
      <c r="F111" s="8" t="inlineStr">
        <is>
          <t>-</t>
        </is>
      </c>
      <c r="G111" s="8" t="inlineStr">
        <is>
          <t>-</t>
        </is>
      </c>
      <c r="H111" s="8" t="inlineStr">
        <is>
          <t>Homework 1 (Chapter 4) — Brightspace, due 11:59 pm</t>
        </is>
      </c>
      <c r="I111" s="8" t="inlineStr">
        <is>
          <t>2026-09-04</t>
        </is>
      </c>
      <c r="J111" s="8" t="inlineStr">
        <is>
          <t>First midterm exam</t>
        </is>
      </c>
      <c r="K111" s="8" t="inlineStr">
        <is>
          <t>2026-09-14</t>
        </is>
      </c>
    </row>
    <row r="112">
      <c r="A112" s="10">
        <f>HYPERLINK("#'HIST-103'!A1","HIST-103")</f>
        <v/>
      </c>
      <c r="B112" s="11" t="inlineStr">
        <is>
          <t>Yes</t>
        </is>
      </c>
      <c r="C112" s="11" t="inlineStr">
        <is>
          <t>-</t>
        </is>
      </c>
      <c r="D112" s="11" t="inlineStr">
        <is>
          <t>Sleep Paper, Witchcraft Paper</t>
        </is>
      </c>
      <c r="E112" s="11" t="inlineStr">
        <is>
          <t>Yes</t>
        </is>
      </c>
      <c r="F112" s="11" t="inlineStr">
        <is>
          <t>-</t>
        </is>
      </c>
      <c r="G112" s="11" t="inlineStr">
        <is>
          <t>-</t>
        </is>
      </c>
      <c r="H112" s="11" t="inlineStr">
        <is>
          <t>Sleep Paper Due</t>
        </is>
      </c>
      <c r="I112" s="11" t="inlineStr">
        <is>
          <t>2026-09-15</t>
        </is>
      </c>
      <c r="J112" s="11" t="inlineStr">
        <is>
          <t>Sleep Paper</t>
        </is>
      </c>
      <c r="K112" s="11" t="inlineStr">
        <is>
          <t>2026-09-15</t>
        </is>
      </c>
    </row>
    <row r="113">
      <c r="A113" s="7">
        <f>HYPERLINK("#'JS-310'!A1","JS-310")</f>
        <v/>
      </c>
      <c r="B113" s="8" t="inlineStr">
        <is>
          <t>-</t>
        </is>
      </c>
      <c r="C113" s="8" t="inlineStr">
        <is>
          <t>Yes</t>
        </is>
      </c>
      <c r="D113" s="8" t="inlineStr">
        <is>
          <t>-</t>
        </is>
      </c>
      <c r="E113" s="8" t="inlineStr">
        <is>
          <t>-</t>
        </is>
      </c>
      <c r="F113" s="8" t="inlineStr">
        <is>
          <t>-</t>
        </is>
      </c>
      <c r="G113" s="8" t="inlineStr">
        <is>
          <t>-</t>
        </is>
      </c>
      <c r="H113" s="8" t="inlineStr">
        <is>
          <t>-</t>
        </is>
      </c>
      <c r="I113" s="8" t="inlineStr">
        <is>
          <t>-</t>
        </is>
      </c>
      <c r="J113" s="8" t="inlineStr">
        <is>
          <t>-</t>
        </is>
      </c>
      <c r="K113" s="8" t="inlineStr">
        <is>
          <t>-</t>
        </is>
      </c>
    </row>
    <row r="114">
      <c r="A114" s="10">
        <f>HYPERLINK("#'SPAN-290'!A1","SPAN-290")</f>
        <v/>
      </c>
      <c r="B114" s="11" t="inlineStr">
        <is>
          <t>Yes</t>
        </is>
      </c>
      <c r="C114" s="11" t="inlineStr">
        <is>
          <t>-</t>
        </is>
      </c>
      <c r="D114" s="11" t="inlineStr">
        <is>
          <t>-</t>
        </is>
      </c>
      <c r="E114" s="11" t="inlineStr">
        <is>
          <t>-</t>
        </is>
      </c>
      <c r="F114" s="11" t="inlineStr">
        <is>
          <t>-</t>
        </is>
      </c>
      <c r="G114" s="11" t="inlineStr">
        <is>
          <t>-</t>
        </is>
      </c>
      <c r="H114" s="11" t="inlineStr">
        <is>
          <t>Essay 1</t>
        </is>
      </c>
      <c r="I114" s="11" t="inlineStr">
        <is>
          <t>2026-09-18</t>
        </is>
      </c>
      <c r="J114" s="11" t="inlineStr">
        <is>
          <t>Essay 1</t>
        </is>
      </c>
      <c r="K114" s="11" t="inlineStr">
        <is>
          <t>2026-09-18</t>
        </is>
      </c>
    </row>
    <row r="116">
      <c r="A116" s="13" t="inlineStr">
        <is>
          <t>Do First - August 2026 - graded assignments (first per class always listed)</t>
        </is>
      </c>
    </row>
    <row r="117">
      <c r="A117" s="14" t="inlineStr">
        <is>
          <t>Due</t>
        </is>
      </c>
      <c r="B117" s="14" t="inlineStr">
        <is>
          <t>Class</t>
        </is>
      </c>
      <c r="C117" s="14" t="inlineStr">
        <is>
          <t>Type</t>
        </is>
      </c>
      <c r="D117" s="14" t="inlineStr">
        <is>
          <t>Graded?</t>
        </is>
      </c>
      <c r="E117" s="14" t="inlineStr">
        <is>
          <t>Item</t>
        </is>
      </c>
    </row>
    <row r="118">
      <c r="A118" s="8" t="inlineStr">
        <is>
          <t>2026-09-04</t>
        </is>
      </c>
      <c r="B118" s="8" t="inlineStr">
        <is>
          <t>ECON-351</t>
        </is>
      </c>
      <c r="C118" s="15" t="inlineStr">
        <is>
          <t>Homework</t>
        </is>
      </c>
      <c r="D118" s="8" t="inlineStr">
        <is>
          <t>Yes</t>
        </is>
      </c>
      <c r="E118" s="8" t="inlineStr">
        <is>
          <t>Homework 1 (Chapter 4) — Brightspace, due 11:59 pm</t>
        </is>
      </c>
    </row>
    <row r="119">
      <c r="A119" s="11" t="inlineStr">
        <is>
          <t>2026-09-09</t>
        </is>
      </c>
      <c r="B119" s="11" t="inlineStr">
        <is>
          <t>BUAD-281</t>
        </is>
      </c>
      <c r="C119" s="46" t="inlineStr">
        <is>
          <t>Homework</t>
        </is>
      </c>
      <c r="D119" s="11" t="inlineStr">
        <is>
          <t>Yes</t>
        </is>
      </c>
      <c r="E119" s="11" t="inlineStr">
        <is>
          <t>Class 5 (9/9) - 2-29, 2-30, 2-40; 15 Points</t>
        </is>
      </c>
    </row>
    <row r="120">
      <c r="A120" s="8" t="inlineStr">
        <is>
          <t>2026-09-15</t>
        </is>
      </c>
      <c r="B120" s="8" t="inlineStr">
        <is>
          <t>HIST-103</t>
        </is>
      </c>
      <c r="C120" s="25" t="inlineStr">
        <is>
          <t>Assignment</t>
        </is>
      </c>
      <c r="D120" s="8" t="inlineStr">
        <is>
          <t>Yes</t>
        </is>
      </c>
      <c r="E120" s="8" t="inlineStr">
        <is>
          <t>Sleep Paper Due</t>
        </is>
      </c>
    </row>
    <row r="121">
      <c r="A121" s="11" t="inlineStr">
        <is>
          <t>2026-09-18</t>
        </is>
      </c>
      <c r="B121" s="11" t="inlineStr">
        <is>
          <t>SPAN-290</t>
        </is>
      </c>
      <c r="C121" s="16" t="inlineStr">
        <is>
          <t>Assignment</t>
        </is>
      </c>
      <c r="D121" s="11" t="inlineStr">
        <is>
          <t>Yes</t>
        </is>
      </c>
      <c r="E121" s="11" t="inlineStr">
        <is>
          <t>Essay 1</t>
        </is>
      </c>
    </row>
    <row r="123">
      <c r="A123" s="17" t="inlineStr">
        <is>
          <t>Do First - August 2026 - Connect prep only (ungraded, not Participation)</t>
        </is>
      </c>
    </row>
    <row r="124">
      <c r="A124" s="18" t="inlineStr">
        <is>
          <t>Due</t>
        </is>
      </c>
      <c r="B124" s="18" t="inlineStr">
        <is>
          <t>Class</t>
        </is>
      </c>
      <c r="C124" s="18" t="inlineStr">
        <is>
          <t>Type</t>
        </is>
      </c>
      <c r="D124" s="18" t="inlineStr">
        <is>
          <t>Graded?</t>
        </is>
      </c>
      <c r="E124" s="18" t="inlineStr">
        <is>
          <t>Item</t>
        </is>
      </c>
    </row>
    <row r="125">
      <c r="A125" s="19" t="inlineStr">
        <is>
          <t>2026-08-31</t>
        </is>
      </c>
      <c r="B125" s="19" t="inlineStr">
        <is>
          <t>BUAD-304</t>
        </is>
      </c>
      <c r="C125" s="20" t="inlineStr">
        <is>
          <t>Homework</t>
        </is>
      </c>
      <c r="D125" s="21" t="inlineStr">
        <is>
          <t>No</t>
        </is>
      </c>
      <c r="E125" s="19" t="inlineStr">
        <is>
          <t>Connect: Self-Assessment 3.01 - What is my Big thinking about your topics and</t>
        </is>
      </c>
    </row>
    <row r="126">
      <c r="A126" s="22" t="inlineStr">
        <is>
          <t>2026-08-31</t>
        </is>
      </c>
      <c r="B126" s="22" t="inlineStr">
        <is>
          <t>BUAD-304</t>
        </is>
      </c>
      <c r="C126" s="23" t="inlineStr">
        <is>
          <t>Homework</t>
        </is>
      </c>
      <c r="D126" s="24" t="inlineStr">
        <is>
          <t>No</t>
        </is>
      </c>
      <c r="E126" s="22" t="inlineStr">
        <is>
          <t>Connect: Self-Assessment 3.04 - What Is Your Level</t>
        </is>
      </c>
    </row>
    <row r="128">
      <c r="A128" s="13" t="inlineStr">
        <is>
          <t>Upcoming graded assignments (next 45 days)</t>
        </is>
      </c>
    </row>
    <row r="129">
      <c r="A129" s="14" t="inlineStr">
        <is>
          <t>Due</t>
        </is>
      </c>
      <c r="B129" s="14" t="inlineStr">
        <is>
          <t>Class</t>
        </is>
      </c>
      <c r="C129" s="14" t="inlineStr">
        <is>
          <t>Type</t>
        </is>
      </c>
      <c r="D129" s="14" t="inlineStr">
        <is>
          <t>Graded?</t>
        </is>
      </c>
      <c r="E129" s="14" t="inlineStr">
        <is>
          <t>Item</t>
        </is>
      </c>
    </row>
    <row r="130">
      <c r="A130" s="8" t="inlineStr">
        <is>
          <t>2026-09-04</t>
        </is>
      </c>
      <c r="B130" s="8" t="inlineStr">
        <is>
          <t>ECON-351</t>
        </is>
      </c>
      <c r="C130" s="15" t="inlineStr">
        <is>
          <t>Homework</t>
        </is>
      </c>
      <c r="D130" s="8" t="inlineStr">
        <is>
          <t>Yes</t>
        </is>
      </c>
      <c r="E130" s="8" t="inlineStr">
        <is>
          <t>Homework 1 (Chapter 4) — Brightspace, due 11:59 pm</t>
        </is>
      </c>
    </row>
    <row r="131">
      <c r="A131" s="11" t="inlineStr">
        <is>
          <t>2026-09-09</t>
        </is>
      </c>
      <c r="B131" s="11" t="inlineStr">
        <is>
          <t>BUAD-281</t>
        </is>
      </c>
      <c r="C131" s="46" t="inlineStr">
        <is>
          <t>Homework</t>
        </is>
      </c>
      <c r="D131" s="11" t="inlineStr">
        <is>
          <t>Yes</t>
        </is>
      </c>
      <c r="E131" s="11" t="inlineStr">
        <is>
          <t>Class 5 (9/9) - 2-29, 2-30, 2-40; 15 Points</t>
        </is>
      </c>
    </row>
    <row r="132">
      <c r="A132" s="8" t="inlineStr">
        <is>
          <t>2026-09-11</t>
        </is>
      </c>
      <c r="B132" s="8" t="inlineStr">
        <is>
          <t>ECON-351</t>
        </is>
      </c>
      <c r="C132" s="15" t="inlineStr">
        <is>
          <t>Homework</t>
        </is>
      </c>
      <c r="D132" s="8" t="inlineStr">
        <is>
          <t>Yes</t>
        </is>
      </c>
      <c r="E132" s="8" t="inlineStr">
        <is>
          <t>Homework 2 (Chapter 9) — Brightspace, due 11:59 pm</t>
        </is>
      </c>
    </row>
    <row r="133">
      <c r="A133" s="11" t="inlineStr">
        <is>
          <t>2026-09-14</t>
        </is>
      </c>
      <c r="B133" s="11" t="inlineStr">
        <is>
          <t>ECON-351</t>
        </is>
      </c>
      <c r="C133" s="120" t="inlineStr">
        <is>
          <t>Exam</t>
        </is>
      </c>
      <c r="D133" s="11" t="inlineStr">
        <is>
          <t>Yes</t>
        </is>
      </c>
      <c r="E133" s="11" t="inlineStr">
        <is>
          <t>Midterm 1 — covers Chapters 4 and 9</t>
        </is>
      </c>
    </row>
    <row r="134">
      <c r="A134" s="8" t="inlineStr">
        <is>
          <t>2026-09-14</t>
        </is>
      </c>
      <c r="B134" s="8" t="inlineStr">
        <is>
          <t>ECON-351</t>
        </is>
      </c>
      <c r="C134" s="25" t="inlineStr">
        <is>
          <t>Assignment</t>
        </is>
      </c>
      <c r="D134" s="8" t="inlineStr">
        <is>
          <t>Yes</t>
        </is>
      </c>
      <c r="E134" s="8" t="inlineStr">
        <is>
          <t>First midterm exam</t>
        </is>
      </c>
    </row>
    <row r="135">
      <c r="A135" s="11" t="inlineStr">
        <is>
          <t>2026-09-15</t>
        </is>
      </c>
      <c r="B135" s="11" t="inlineStr">
        <is>
          <t>HIST-103</t>
        </is>
      </c>
      <c r="C135" s="16" t="inlineStr">
        <is>
          <t>Assignment</t>
        </is>
      </c>
      <c r="D135" s="11" t="inlineStr">
        <is>
          <t>Yes</t>
        </is>
      </c>
      <c r="E135" s="11" t="inlineStr">
        <is>
          <t>Sleep Paper Due</t>
        </is>
      </c>
    </row>
    <row r="136">
      <c r="A136" s="8" t="inlineStr">
        <is>
          <t>2026-09-15</t>
        </is>
      </c>
      <c r="B136" s="8" t="inlineStr">
        <is>
          <t>HIST-103</t>
        </is>
      </c>
      <c r="C136" s="25" t="inlineStr">
        <is>
          <t>Assignment</t>
        </is>
      </c>
      <c r="D136" s="8" t="inlineStr">
        <is>
          <t>Yes</t>
        </is>
      </c>
      <c r="E136" s="8" t="inlineStr">
        <is>
          <t>Sleep Paper</t>
        </is>
      </c>
    </row>
    <row r="137">
      <c r="A137" s="11" t="inlineStr">
        <is>
          <t>2026-09-16</t>
        </is>
      </c>
      <c r="B137" s="11" t="inlineStr">
        <is>
          <t>BUAD-281</t>
        </is>
      </c>
      <c r="C137" s="46" t="inlineStr">
        <is>
          <t>Homework</t>
        </is>
      </c>
      <c r="D137" s="11" t="inlineStr">
        <is>
          <t>Yes</t>
        </is>
      </c>
      <c r="E137" s="11" t="inlineStr">
        <is>
          <t>Class 7 (9/16) - 3-24, 3-28, 3-32; 15 Points</t>
        </is>
      </c>
    </row>
    <row r="138">
      <c r="A138" s="8" t="inlineStr">
        <is>
          <t>2026-09-16</t>
        </is>
      </c>
      <c r="B138" s="8" t="inlineStr">
        <is>
          <t>BUAD-304</t>
        </is>
      </c>
      <c r="C138" s="25" t="inlineStr">
        <is>
          <t>Assignment</t>
        </is>
      </c>
      <c r="D138" s="8" t="inlineStr">
        <is>
          <t>Yes</t>
        </is>
      </c>
      <c r="E138" s="8" t="inlineStr">
        <is>
          <t>Thomas Green Case Analysis Memo</t>
        </is>
      </c>
    </row>
    <row r="139">
      <c r="A139" s="11" t="inlineStr">
        <is>
          <t>2026-09-17</t>
        </is>
      </c>
      <c r="B139" s="11" t="inlineStr">
        <is>
          <t>HIST-103</t>
        </is>
      </c>
      <c r="C139" s="16" t="inlineStr">
        <is>
          <t>Assignment</t>
        </is>
      </c>
      <c r="D139" s="11" t="inlineStr">
        <is>
          <t>Yes</t>
        </is>
      </c>
      <c r="E139" s="11" t="inlineStr">
        <is>
          <t>Final Exam</t>
        </is>
      </c>
    </row>
    <row r="140">
      <c r="A140" s="8" t="inlineStr">
        <is>
          <t>2026-09-18</t>
        </is>
      </c>
      <c r="B140" s="8" t="inlineStr">
        <is>
          <t>ECON-351</t>
        </is>
      </c>
      <c r="C140" s="15" t="inlineStr">
        <is>
          <t>Homework</t>
        </is>
      </c>
      <c r="D140" s="8" t="inlineStr">
        <is>
          <t>Yes</t>
        </is>
      </c>
      <c r="E140" s="8" t="inlineStr">
        <is>
          <t>Homework 3 — Brightspace, due 11:59 pm</t>
        </is>
      </c>
    </row>
    <row r="141">
      <c r="A141" s="11" t="inlineStr">
        <is>
          <t>2026-09-18</t>
        </is>
      </c>
      <c r="B141" s="11" t="inlineStr">
        <is>
          <t>SPAN-290</t>
        </is>
      </c>
      <c r="C141" s="16" t="inlineStr">
        <is>
          <t>Assignment</t>
        </is>
      </c>
      <c r="D141" s="11" t="inlineStr">
        <is>
          <t>Yes</t>
        </is>
      </c>
      <c r="E141" s="11" t="inlineStr">
        <is>
          <t>Essay 1</t>
        </is>
      </c>
    </row>
    <row r="142">
      <c r="A142" s="8" t="inlineStr">
        <is>
          <t>2026-09-21</t>
        </is>
      </c>
      <c r="B142" s="8" t="inlineStr">
        <is>
          <t>BUAD-281</t>
        </is>
      </c>
      <c r="C142" s="15" t="inlineStr">
        <is>
          <t>Homework</t>
        </is>
      </c>
      <c r="D142" s="8" t="inlineStr">
        <is>
          <t>Yes</t>
        </is>
      </c>
      <c r="E142" s="8" t="inlineStr">
        <is>
          <t>Class 8 (9/21) - 5-27 5-46; 10 Points</t>
        </is>
      </c>
    </row>
    <row r="143">
      <c r="A143" s="11" t="inlineStr">
        <is>
          <t>2026-09-23</t>
        </is>
      </c>
      <c r="B143" s="11" t="inlineStr">
        <is>
          <t>BUAD-281</t>
        </is>
      </c>
      <c r="C143" s="46" t="inlineStr">
        <is>
          <t>Homework</t>
        </is>
      </c>
      <c r="D143" s="11" t="inlineStr">
        <is>
          <t>Yes</t>
        </is>
      </c>
      <c r="E143" s="11" t="inlineStr">
        <is>
          <t>Class 9 (9/23) - 4-21, 4-22; 10 Points</t>
        </is>
      </c>
    </row>
    <row r="144">
      <c r="A144" s="8" t="inlineStr">
        <is>
          <t>2026-09-25</t>
        </is>
      </c>
      <c r="B144" s="8" t="inlineStr">
        <is>
          <t>ECON-351</t>
        </is>
      </c>
      <c r="C144" s="15" t="inlineStr">
        <is>
          <t>Homework</t>
        </is>
      </c>
      <c r="D144" s="8" t="inlineStr">
        <is>
          <t>Yes</t>
        </is>
      </c>
      <c r="E144" s="8" t="inlineStr">
        <is>
          <t>Homework 4 (Chapter 3) — Brightspace, due 11:59 pm</t>
        </is>
      </c>
    </row>
    <row r="145">
      <c r="A145" s="11" t="inlineStr">
        <is>
          <t>2026-09-25</t>
        </is>
      </c>
      <c r="B145" s="11" t="inlineStr">
        <is>
          <t>BUAD-304</t>
        </is>
      </c>
      <c r="C145" s="90" t="inlineStr">
        <is>
          <t>Research</t>
        </is>
      </c>
      <c r="D145" s="11" t="inlineStr">
        <is>
          <t>Yes</t>
        </is>
      </c>
      <c r="E145" s="11" t="inlineStr">
        <is>
          <t>Research: Setup deadline (registration, prescreening, contacts)</t>
        </is>
      </c>
    </row>
    <row r="146">
      <c r="A146" s="8" t="inlineStr">
        <is>
          <t>2026-09-28</t>
        </is>
      </c>
      <c r="B146" s="8" t="inlineStr">
        <is>
          <t>BUAD-281</t>
        </is>
      </c>
      <c r="C146" s="15" t="inlineStr">
        <is>
          <t>Homework</t>
        </is>
      </c>
      <c r="D146" s="8" t="inlineStr">
        <is>
          <t>Yes</t>
        </is>
      </c>
      <c r="E146" s="8" t="inlineStr">
        <is>
          <t>Class 10 (9/28) - 8-28, 8-29; 10 Points</t>
        </is>
      </c>
    </row>
    <row r="147">
      <c r="A147" s="11" t="inlineStr">
        <is>
          <t>2026-09-28</t>
        </is>
      </c>
      <c r="B147" s="11" t="inlineStr">
        <is>
          <t>BUAD-304</t>
        </is>
      </c>
      <c r="C147" s="16" t="inlineStr">
        <is>
          <t>Assignment</t>
        </is>
      </c>
      <c r="D147" s="11" t="inlineStr">
        <is>
          <t>Yes</t>
        </is>
      </c>
      <c r="E147" s="11" t="inlineStr">
        <is>
          <t>Team project proposal &amp; team contract</t>
        </is>
      </c>
    </row>
    <row r="148">
      <c r="A148" s="8" t="inlineStr">
        <is>
          <t>2026-09-28</t>
        </is>
      </c>
      <c r="B148" s="8" t="inlineStr">
        <is>
          <t>BUAD-304</t>
        </is>
      </c>
      <c r="C148" s="25" t="inlineStr">
        <is>
          <t>Assignment</t>
        </is>
      </c>
      <c r="D148" s="8" t="inlineStr">
        <is>
          <t>Yes</t>
        </is>
      </c>
      <c r="E148" s="8" t="inlineStr">
        <is>
          <t>Proposal &amp; Team Contract</t>
        </is>
      </c>
    </row>
    <row r="149">
      <c r="A149" s="11" t="inlineStr">
        <is>
          <t>2026-09-30</t>
        </is>
      </c>
      <c r="B149" s="11" t="inlineStr">
        <is>
          <t>BUAD-281</t>
        </is>
      </c>
      <c r="C149" s="120" t="inlineStr">
        <is>
          <t>Exam</t>
        </is>
      </c>
      <c r="D149" s="11" t="inlineStr">
        <is>
          <t>Yes</t>
        </is>
      </c>
      <c r="E149" s="11" t="inlineStr">
        <is>
          <t>9/30 Midterm 1: 250 Points Chapters 1, 2, 3, 4, 5, 8</t>
        </is>
      </c>
    </row>
    <row r="150">
      <c r="A150" s="8" t="inlineStr">
        <is>
          <t>2026-09-30</t>
        </is>
      </c>
      <c r="B150" s="8" t="inlineStr">
        <is>
          <t>BUAD-281</t>
        </is>
      </c>
      <c r="C150" s="25" t="inlineStr">
        <is>
          <t>Assignment</t>
        </is>
      </c>
      <c r="D150" s="8" t="inlineStr">
        <is>
          <t>Yes</t>
        </is>
      </c>
      <c r="E150" s="8" t="inlineStr">
        <is>
          <t>Midterm 1</t>
        </is>
      </c>
    </row>
    <row r="151">
      <c r="A151" s="11" t="inlineStr">
        <is>
          <t>2026-10-01</t>
        </is>
      </c>
      <c r="B151" s="11" t="inlineStr">
        <is>
          <t>SPAN-290</t>
        </is>
      </c>
      <c r="C151" s="120" t="inlineStr">
        <is>
          <t>Exam</t>
        </is>
      </c>
      <c r="D151" s="11" t="inlineStr">
        <is>
          <t>Yes</t>
        </is>
      </c>
      <c r="E151" s="11" t="inlineStr">
        <is>
          <t>Midterm Exam (in class)</t>
        </is>
      </c>
    </row>
    <row r="152">
      <c r="A152" s="8" t="inlineStr">
        <is>
          <t>2026-10-01</t>
        </is>
      </c>
      <c r="B152" s="8" t="inlineStr">
        <is>
          <t>SPAN-290</t>
        </is>
      </c>
      <c r="C152" s="25" t="inlineStr">
        <is>
          <t>Assignment</t>
        </is>
      </c>
      <c r="D152" s="8" t="inlineStr">
        <is>
          <t>Yes</t>
        </is>
      </c>
      <c r="E152" s="8" t="inlineStr">
        <is>
          <t>Midterm Exam</t>
        </is>
      </c>
    </row>
    <row r="153">
      <c r="A153" s="11" t="inlineStr">
        <is>
          <t>2026-10-02</t>
        </is>
      </c>
      <c r="B153" s="11" t="inlineStr">
        <is>
          <t>ECON-351</t>
        </is>
      </c>
      <c r="C153" s="46" t="inlineStr">
        <is>
          <t>Homework</t>
        </is>
      </c>
      <c r="D153" s="11" t="inlineStr">
        <is>
          <t>Yes</t>
        </is>
      </c>
      <c r="E153" s="11" t="inlineStr">
        <is>
          <t>Homework 5 (Chapter 5) — Brightspace, due 11:59 pm</t>
        </is>
      </c>
    </row>
    <row r="154">
      <c r="A154" s="8" t="inlineStr">
        <is>
          <t>2026-10-02</t>
        </is>
      </c>
      <c r="B154" s="8" t="inlineStr">
        <is>
          <t>ECON-351</t>
        </is>
      </c>
      <c r="C154" s="25" t="inlineStr">
        <is>
          <t>Assignment</t>
        </is>
      </c>
      <c r="D154" s="8" t="inlineStr">
        <is>
          <t>Yes</t>
        </is>
      </c>
      <c r="E154" s="8" t="inlineStr">
        <is>
          <t>AI Forecast Project — Part I</t>
        </is>
      </c>
    </row>
  </sheetData>
  <mergeCells count="97">
    <mergeCell ref="E36:K36"/>
    <mergeCell ref="E101:K101"/>
    <mergeCell ref="E91:K91"/>
    <mergeCell ref="E85:K85"/>
    <mergeCell ref="E100:K100"/>
    <mergeCell ref="E75:K75"/>
    <mergeCell ref="E53:K53"/>
    <mergeCell ref="E93:K93"/>
    <mergeCell ref="C17:K17"/>
    <mergeCell ref="E55:K55"/>
    <mergeCell ref="E67:K67"/>
    <mergeCell ref="E39:K39"/>
    <mergeCell ref="E48:K48"/>
    <mergeCell ref="C19:K19"/>
    <mergeCell ref="A2:K2"/>
    <mergeCell ref="E29:K29"/>
    <mergeCell ref="E38:K38"/>
    <mergeCell ref="E31:K31"/>
    <mergeCell ref="E40:K40"/>
    <mergeCell ref="C14:K14"/>
    <mergeCell ref="E95:K95"/>
    <mergeCell ref="E89:K89"/>
    <mergeCell ref="E26:K26"/>
    <mergeCell ref="E76:K76"/>
    <mergeCell ref="E25:K25"/>
    <mergeCell ref="E66:K66"/>
    <mergeCell ref="E58:K58"/>
    <mergeCell ref="A128:K128"/>
    <mergeCell ref="E50:K50"/>
    <mergeCell ref="E68:K68"/>
    <mergeCell ref="E42:K42"/>
    <mergeCell ref="A105:K105"/>
    <mergeCell ref="E52:K52"/>
    <mergeCell ref="E83:K83"/>
    <mergeCell ref="E92:K92"/>
    <mergeCell ref="E44:K44"/>
    <mergeCell ref="C18:K18"/>
    <mergeCell ref="A116:K116"/>
    <mergeCell ref="E94:K94"/>
    <mergeCell ref="E69:K69"/>
    <mergeCell ref="E84:K84"/>
    <mergeCell ref="E78:K78"/>
    <mergeCell ref="E30:K30"/>
    <mergeCell ref="E59:K59"/>
    <mergeCell ref="E77:K77"/>
    <mergeCell ref="E46:K46"/>
    <mergeCell ref="E86:K86"/>
    <mergeCell ref="E80:K80"/>
    <mergeCell ref="E61:K61"/>
    <mergeCell ref="E70:K70"/>
    <mergeCell ref="E57:K57"/>
    <mergeCell ref="E54:K54"/>
    <mergeCell ref="E32:K32"/>
    <mergeCell ref="E72:K72"/>
    <mergeCell ref="A1:K1"/>
    <mergeCell ref="E41:K41"/>
    <mergeCell ref="E81:K81"/>
    <mergeCell ref="A103:K103"/>
    <mergeCell ref="E47:K47"/>
    <mergeCell ref="E56:K56"/>
    <mergeCell ref="E96:K96"/>
    <mergeCell ref="E43:K43"/>
    <mergeCell ref="E24:K24"/>
    <mergeCell ref="E33:K33"/>
    <mergeCell ref="E98:K98"/>
    <mergeCell ref="A21:K21"/>
    <mergeCell ref="E88:K88"/>
    <mergeCell ref="E82:K82"/>
    <mergeCell ref="E35:K35"/>
    <mergeCell ref="A106:K106"/>
    <mergeCell ref="E28:K28"/>
    <mergeCell ref="A4:K4"/>
    <mergeCell ref="E60:K60"/>
    <mergeCell ref="E74:K74"/>
    <mergeCell ref="E45:K45"/>
    <mergeCell ref="C16:K16"/>
    <mergeCell ref="A123:K123"/>
    <mergeCell ref="E37:K37"/>
    <mergeCell ref="E97:K97"/>
    <mergeCell ref="E62:K62"/>
    <mergeCell ref="E71:K71"/>
    <mergeCell ref="E23:K23"/>
    <mergeCell ref="A3:K3"/>
    <mergeCell ref="E64:K64"/>
    <mergeCell ref="E79:K79"/>
    <mergeCell ref="E73:K73"/>
    <mergeCell ref="E51:K51"/>
    <mergeCell ref="E87:K87"/>
    <mergeCell ref="E63:K63"/>
    <mergeCell ref="C15:K15"/>
    <mergeCell ref="E65:K65"/>
    <mergeCell ref="E34:K34"/>
    <mergeCell ref="E90:K90"/>
    <mergeCell ref="E99:K99"/>
    <mergeCell ref="A13:K13"/>
    <mergeCell ref="E49:K49"/>
    <mergeCell ref="E27:K27"/>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s>
  <pageMargins left="0.75" right="0.75" top="1" bottom="1" header="0.5" footer="0.5"/>
</worksheet>
</file>

<file path=xl/worksheets/sheet2.xml><?xml version="1.0" encoding="utf-8"?>
<worksheet xmlns="http://schemas.openxmlformats.org/spreadsheetml/2006/main">
  <sheetPr>
    <tabColor rgb="00FF7F0E"/>
    <outlinePr summaryBelow="1" summaryRight="1"/>
    <pageSetUpPr/>
  </sheetPr>
  <dimension ref="A1:F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48" t="inlineStr">
        <is>
          <t>BUAD-281 — Managerial Accounting</t>
        </is>
      </c>
    </row>
    <row r="2" ht="40" customHeight="1">
      <c r="A2" s="28">
        <f>HYPERLINK("https://raw.githubusercontent.com/vengeanceaiUSC/Syllabus-/cursor/add-syllabus-dissector-skill-a676/output/sources/buad-281-source.pdf","SEE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Group Project</t>
        </is>
      </c>
      <c r="F10" s="51" t="inlineStr">
        <is>
          <t>Details</t>
        </is>
      </c>
    </row>
    <row r="11">
      <c r="A11" s="52" t="inlineStr">
        <is>
          <t>Midterm 1</t>
        </is>
      </c>
      <c r="B11" s="100" t="inlineStr">
        <is>
          <t>250 pts</t>
        </is>
      </c>
      <c r="C11" s="101" t="inlineStr"/>
      <c r="D11" s="101" t="inlineStr">
        <is>
          <t>2026-09-30</t>
        </is>
      </c>
      <c r="E11" s="101" t="inlineStr">
        <is>
          <t>No</t>
        </is>
      </c>
      <c r="F11" s="55">
        <f>HYPERLINK("https://raw.githubusercontent.com/vengeanceaiUSC/Syllabus-/cursor/add-syllabus-dissector-skill-a676/output/documents/buad-281-midterm-1.pdf","Open PDF")</f>
        <v/>
      </c>
    </row>
    <row r="12">
      <c r="A12" s="56" t="inlineStr">
        <is>
          <t>Exam</t>
        </is>
      </c>
      <c r="B12" s="102" t="inlineStr"/>
      <c r="C12" s="102" t="inlineStr"/>
      <c r="D12" s="102" t="inlineStr">
        <is>
          <t>2026-09-30</t>
        </is>
      </c>
      <c r="E12" s="102" t="inlineStr"/>
      <c r="F12" s="58" t="inlineStr">
        <is>
          <t>9/30 Midterm 1: 250 Points Chapters 1, 2, 3, 4, 5, 8</t>
        </is>
      </c>
    </row>
    <row r="13">
      <c r="A13" s="59" t="inlineStr">
        <is>
          <t>Midterm 2</t>
        </is>
      </c>
      <c r="B13" s="100" t="inlineStr">
        <is>
          <t>250 pts</t>
        </is>
      </c>
      <c r="C13" s="103" t="inlineStr"/>
      <c r="D13" s="103" t="inlineStr">
        <is>
          <t>2026-10-26</t>
        </is>
      </c>
      <c r="E13" s="103" t="inlineStr">
        <is>
          <t>No</t>
        </is>
      </c>
      <c r="F13" s="61">
        <f>HYPERLINK("https://raw.githubusercontent.com/vengeanceaiUSC/Syllabus-/cursor/add-syllabus-dissector-skill-a676/output/documents/buad-281-midterm-2.pdf","Open PDF")</f>
        <v/>
      </c>
    </row>
    <row r="14">
      <c r="A14" s="56" t="inlineStr">
        <is>
          <t>Exam</t>
        </is>
      </c>
      <c r="B14" s="102" t="inlineStr"/>
      <c r="C14" s="102" t="inlineStr"/>
      <c r="D14" s="102" t="inlineStr">
        <is>
          <t>2026-10-26</t>
        </is>
      </c>
      <c r="E14" s="102" t="inlineStr"/>
      <c r="F14" s="58" t="inlineStr">
        <is>
          <t>10/26 Midterm 2: 250 Points Chapters 6, 7, 9, &amp; 16</t>
        </is>
      </c>
    </row>
    <row r="15">
      <c r="A15" s="52" t="inlineStr">
        <is>
          <t>Final Exam</t>
        </is>
      </c>
      <c r="B15" s="100" t="inlineStr">
        <is>
          <t>250 pts</t>
        </is>
      </c>
      <c r="C15" s="101" t="inlineStr"/>
      <c r="D15" s="101" t="inlineStr">
        <is>
          <t>2026-12-16</t>
        </is>
      </c>
      <c r="E15" s="101" t="inlineStr">
        <is>
          <t>No</t>
        </is>
      </c>
      <c r="F15" s="55">
        <f>HYPERLINK("https://raw.githubusercontent.com/vengeanceaiUSC/Syllabus-/cursor/add-syllabus-dissector-skill-a676/output/documents/buad-281-final-exam.pdf","Open PDF")</f>
        <v/>
      </c>
    </row>
    <row r="16">
      <c r="A16" s="56" t="inlineStr">
        <is>
          <t>Exam</t>
        </is>
      </c>
      <c r="B16" s="102" t="inlineStr"/>
      <c r="C16" s="102" t="inlineStr"/>
      <c r="D16" s="102" t="inlineStr">
        <is>
          <t>2026-12-16</t>
        </is>
      </c>
      <c r="E16" s="102" t="inlineStr"/>
      <c r="F16" s="58" t="inlineStr">
        <is>
          <t>Final Exam</t>
        </is>
      </c>
    </row>
    <row r="17">
      <c r="A17" s="59" t="inlineStr">
        <is>
          <t>Homework</t>
        </is>
      </c>
      <c r="B17" s="100" t="inlineStr">
        <is>
          <t>170 pts</t>
        </is>
      </c>
      <c r="C17" s="103" t="inlineStr"/>
      <c r="D17" s="103" t="inlineStr">
        <is>
          <t>2026-12-02</t>
        </is>
      </c>
      <c r="E17" s="103" t="inlineStr">
        <is>
          <t>No</t>
        </is>
      </c>
      <c r="F17" s="61">
        <f>HYPERLINK("https://raw.githubusercontent.com/vengeanceaiUSC/Syllabus-/cursor/add-syllabus-dissector-skill-a676/output/documents/buad-281-homework.pdf","Open PDF")</f>
        <v/>
      </c>
    </row>
    <row r="18">
      <c r="A18" s="62" t="inlineStr">
        <is>
          <t>Reading</t>
        </is>
      </c>
      <c r="B18" s="102" t="inlineStr"/>
      <c r="C18" s="102" t="inlineStr"/>
      <c r="D18" s="102" t="inlineStr">
        <is>
          <t>2026-09-09</t>
        </is>
      </c>
      <c r="E18" s="102" t="inlineStr"/>
      <c r="F18" s="58" t="inlineStr">
        <is>
          <t>Class 5 (9/9) - Product Cost Accumulation: Job; Order Co: Chapter 3</t>
        </is>
      </c>
    </row>
    <row r="19">
      <c r="A19" s="63" t="inlineStr">
        <is>
          <t>Homework</t>
        </is>
      </c>
      <c r="B19" s="102" t="inlineStr"/>
      <c r="C19" s="102" t="inlineStr"/>
      <c r="D19" s="102" t="inlineStr">
        <is>
          <t>2026-09-09</t>
        </is>
      </c>
      <c r="E19" s="102" t="inlineStr"/>
      <c r="F19" s="58" t="inlineStr">
        <is>
          <t>Class 5 (9/9) - 2-29, 2-30, 2-40; 15 Points</t>
        </is>
      </c>
    </row>
    <row r="20">
      <c r="A20" s="62" t="inlineStr">
        <is>
          <t>Reading</t>
        </is>
      </c>
      <c r="B20" s="102" t="inlineStr"/>
      <c r="C20" s="102" t="inlineStr"/>
      <c r="D20" s="102" t="inlineStr">
        <is>
          <t>2026-09-16</t>
        </is>
      </c>
      <c r="E20" s="102" t="inlineStr"/>
      <c r="F20" s="58" t="inlineStr">
        <is>
          <t>Class 7 (9/16) - Activity Based Costing: Chapter 5- ONLY; LO 5.1, 2, 4 &amp; 5</t>
        </is>
      </c>
    </row>
    <row r="21">
      <c r="A21" s="63" t="inlineStr">
        <is>
          <t>Homework</t>
        </is>
      </c>
      <c r="B21" s="102" t="inlineStr"/>
      <c r="C21" s="102" t="inlineStr"/>
      <c r="D21" s="102" t="inlineStr">
        <is>
          <t>2026-09-16</t>
        </is>
      </c>
      <c r="E21" s="102" t="inlineStr"/>
      <c r="F21" s="58" t="inlineStr">
        <is>
          <t>Class 7 (9/16) - 3-24, 3-28, 3-32; 15 Points</t>
        </is>
      </c>
    </row>
    <row r="22">
      <c r="A22" s="62" t="inlineStr">
        <is>
          <t>Reading</t>
        </is>
      </c>
      <c r="B22" s="102" t="inlineStr"/>
      <c r="C22" s="102" t="inlineStr"/>
      <c r="D22" s="102" t="inlineStr">
        <is>
          <t>2026-09-21</t>
        </is>
      </c>
      <c r="E22" s="102" t="inlineStr"/>
      <c r="F22" s="58" t="inlineStr">
        <is>
          <t>Class 8 (9/21) - Product Cost Accumulation: Pro-; cess Co: Chapter 4- ONLY; LO 4.1, 3, 4, &amp; 5</t>
        </is>
      </c>
    </row>
    <row r="23">
      <c r="A23" s="63" t="inlineStr">
        <is>
          <t>Homework</t>
        </is>
      </c>
      <c r="B23" s="102" t="inlineStr"/>
      <c r="C23" s="102" t="inlineStr"/>
      <c r="D23" s="102" t="inlineStr">
        <is>
          <t>2026-09-21</t>
        </is>
      </c>
      <c r="E23" s="102" t="inlineStr"/>
      <c r="F23" s="58" t="inlineStr">
        <is>
          <t>Class 8 (9/21) - 5-27 5-46; 10 Points</t>
        </is>
      </c>
    </row>
    <row r="24">
      <c r="A24" s="62" t="inlineStr">
        <is>
          <t>Reading</t>
        </is>
      </c>
      <c r="B24" s="102" t="inlineStr"/>
      <c r="C24" s="102" t="inlineStr"/>
      <c r="D24" s="102" t="inlineStr">
        <is>
          <t>2026-09-23</t>
        </is>
      </c>
      <c r="E24" s="102" t="inlineStr"/>
      <c r="F24" s="58" t="inlineStr">
        <is>
          <t>Class 9 (9/23) - Cost of Quality &amp; ESG &amp;; Overview of; • : Chapter 8 - ONLY; LO 8.7, 8, 9</t>
        </is>
      </c>
    </row>
    <row r="25">
      <c r="A25" s="63" t="inlineStr">
        <is>
          <t>Homework</t>
        </is>
      </c>
      <c r="B25" s="102" t="inlineStr"/>
      <c r="C25" s="102" t="inlineStr"/>
      <c r="D25" s="102" t="inlineStr">
        <is>
          <t>2026-09-23</t>
        </is>
      </c>
      <c r="E25" s="102" t="inlineStr"/>
      <c r="F25" s="58" t="inlineStr">
        <is>
          <t>Class 9 (9/23) - 4-21, 4-22; 10 Points</t>
        </is>
      </c>
    </row>
    <row r="26">
      <c r="A26" s="62" t="inlineStr">
        <is>
          <t>Reading</t>
        </is>
      </c>
      <c r="B26" s="102" t="inlineStr"/>
      <c r="C26" s="102" t="inlineStr"/>
      <c r="D26" s="102" t="inlineStr">
        <is>
          <t>2026-09-28</t>
        </is>
      </c>
      <c r="E26" s="102" t="inlineStr"/>
      <c r="F26" s="58" t="inlineStr">
        <is>
          <t>Class 10 (9/28) - Catchup &amp; Midterm Review</t>
        </is>
      </c>
    </row>
    <row r="27">
      <c r="A27" s="63" t="inlineStr">
        <is>
          <t>Homework</t>
        </is>
      </c>
      <c r="B27" s="102" t="inlineStr"/>
      <c r="C27" s="102" t="inlineStr"/>
      <c r="D27" s="102" t="inlineStr">
        <is>
          <t>2026-09-28</t>
        </is>
      </c>
      <c r="E27" s="102" t="inlineStr"/>
      <c r="F27" s="58" t="inlineStr">
        <is>
          <t>Class 10 (9/28) - 8-28, 8-29; 10 Points</t>
        </is>
      </c>
    </row>
    <row r="28">
      <c r="A28" s="62" t="inlineStr">
        <is>
          <t>Reading</t>
        </is>
      </c>
      <c r="B28" s="102" t="inlineStr"/>
      <c r="C28" s="102" t="inlineStr"/>
      <c r="D28" s="102" t="inlineStr">
        <is>
          <t>2026-10-07</t>
        </is>
      </c>
      <c r="E28" s="102" t="inlineStr"/>
      <c r="F28" s="58" t="inlineStr">
        <is>
          <t>Class 12 (10/7) - Cost volume profit analysis: Chapter 7</t>
        </is>
      </c>
    </row>
    <row r="29">
      <c r="A29" s="63" t="inlineStr">
        <is>
          <t>Homework</t>
        </is>
      </c>
      <c r="B29" s="102" t="inlineStr"/>
      <c r="C29" s="102" t="inlineStr"/>
      <c r="D29" s="102" t="inlineStr">
        <is>
          <t>2026-10-07</t>
        </is>
      </c>
      <c r="E29" s="102" t="inlineStr"/>
      <c r="F29" s="58" t="inlineStr">
        <is>
          <t>Class 12 (10/7) - 6-24, 6-25, 6-34; 15 Points</t>
        </is>
      </c>
    </row>
    <row r="30">
      <c r="A30" s="62" t="inlineStr">
        <is>
          <t>Reading</t>
        </is>
      </c>
      <c r="B30" s="102" t="inlineStr"/>
      <c r="C30" s="102" t="inlineStr"/>
      <c r="D30" s="102" t="inlineStr">
        <is>
          <t>2026-10-14</t>
        </is>
      </c>
      <c r="E30" s="102" t="inlineStr"/>
      <c r="F30" s="58" t="inlineStr">
        <is>
          <t>Class 14 (10/14) - Financial planning and analysis:; Static: Chapter 9</t>
        </is>
      </c>
    </row>
    <row r="31">
      <c r="A31" s="63" t="inlineStr">
        <is>
          <t>Homework</t>
        </is>
      </c>
      <c r="B31" s="102" t="inlineStr"/>
      <c r="C31" s="102" t="inlineStr"/>
      <c r="D31" s="102" t="inlineStr">
        <is>
          <t>2026-10-14</t>
        </is>
      </c>
      <c r="E31" s="102" t="inlineStr"/>
      <c r="F31" s="58" t="inlineStr">
        <is>
          <t>Class 14 (10/14) - 7-29, 7-33, 7-40; 15 Points</t>
        </is>
      </c>
    </row>
    <row r="32">
      <c r="A32" s="62" t="inlineStr">
        <is>
          <t>Reading</t>
        </is>
      </c>
      <c r="B32" s="102" t="inlineStr"/>
      <c r="C32" s="102" t="inlineStr"/>
      <c r="D32" s="102" t="inlineStr">
        <is>
          <t>2026-10-19</t>
        </is>
      </c>
      <c r="E32" s="102" t="inlineStr"/>
      <c r="F32" s="58" t="inlineStr">
        <is>
          <t>Class 15 (10/19) - Capital Budgeting; Practice Midterm Ques: Chapter 16- ONLY; LO 16.1, 2, 3</t>
        </is>
      </c>
    </row>
    <row r="33">
      <c r="A33" s="63" t="inlineStr">
        <is>
          <t>Homework</t>
        </is>
      </c>
      <c r="B33" s="102" t="inlineStr"/>
      <c r="C33" s="102" t="inlineStr"/>
      <c r="D33" s="102" t="inlineStr">
        <is>
          <t>2026-10-19</t>
        </is>
      </c>
      <c r="E33" s="102" t="inlineStr"/>
      <c r="F33" s="58" t="inlineStr">
        <is>
          <t>Class 15 (10/19) - 9-25, 9-28, 9-37; 15 - Points</t>
        </is>
      </c>
    </row>
    <row r="34">
      <c r="A34" s="62" t="inlineStr">
        <is>
          <t>Reading</t>
        </is>
      </c>
      <c r="B34" s="102" t="inlineStr"/>
      <c r="C34" s="102" t="inlineStr"/>
      <c r="D34" s="102" t="inlineStr">
        <is>
          <t>2026-10-21</t>
        </is>
      </c>
      <c r="E34" s="102" t="inlineStr"/>
      <c r="F34" s="58" t="inlineStr">
        <is>
          <t>Class 16 (10/21) - Catchup &amp; Midterm Review</t>
        </is>
      </c>
    </row>
    <row r="35">
      <c r="A35" s="63" t="inlineStr">
        <is>
          <t>Homework</t>
        </is>
      </c>
      <c r="B35" s="102" t="inlineStr"/>
      <c r="C35" s="102" t="inlineStr"/>
      <c r="D35" s="102" t="inlineStr">
        <is>
          <t>2026-10-21</t>
        </is>
      </c>
      <c r="E35" s="102" t="inlineStr"/>
      <c r="F35" s="58" t="inlineStr">
        <is>
          <t>Class 16 (10/21) - 16-28, 16-40; 10 Points</t>
        </is>
      </c>
    </row>
    <row r="36">
      <c r="A36" s="62" t="inlineStr">
        <is>
          <t>Reading</t>
        </is>
      </c>
      <c r="B36" s="102" t="inlineStr"/>
      <c r="C36" s="102" t="inlineStr"/>
      <c r="D36" s="102" t="inlineStr">
        <is>
          <t>2026-11-04</t>
        </is>
      </c>
      <c r="E36" s="102" t="inlineStr"/>
      <c r="F36" s="58" t="inlineStr">
        <is>
          <t>Class 19 (11/4) - Sales Variance Analysis; Flexible Budget: Chapter 11 - ONLY; LO 11.1, 11.2 &amp;; Appendix B</t>
        </is>
      </c>
    </row>
    <row r="37">
      <c r="A37" s="63" t="inlineStr">
        <is>
          <t>Homework</t>
        </is>
      </c>
      <c r="B37" s="102" t="inlineStr"/>
      <c r="C37" s="102" t="inlineStr"/>
      <c r="D37" s="102" t="inlineStr">
        <is>
          <t>2026-11-04</t>
        </is>
      </c>
      <c r="E37" s="102" t="inlineStr"/>
      <c r="F37" s="58" t="inlineStr">
        <is>
          <t>Class 19 (11/4) - 10-26, 10-30; 10 Points</t>
        </is>
      </c>
    </row>
    <row r="38">
      <c r="A38" s="62" t="inlineStr">
        <is>
          <t>Reading</t>
        </is>
      </c>
      <c r="B38" s="102" t="inlineStr"/>
      <c r="C38" s="102" t="inlineStr"/>
      <c r="D38" s="102" t="inlineStr">
        <is>
          <t>2026-11-09</t>
        </is>
      </c>
      <c r="E38" s="102" t="inlineStr"/>
      <c r="F38" s="58" t="inlineStr">
        <is>
          <t>Class 20 (11/9) - Investment Centers: Chapter 13- ONLY; LO 13-1, 2, 3, 4</t>
        </is>
      </c>
    </row>
    <row r="39">
      <c r="A39" s="63" t="inlineStr">
        <is>
          <t>Homework</t>
        </is>
      </c>
      <c r="B39" s="102" t="inlineStr"/>
      <c r="C39" s="102" t="inlineStr"/>
      <c r="D39" s="102" t="inlineStr">
        <is>
          <t>2026-11-09</t>
        </is>
      </c>
      <c r="E39" s="102" t="inlineStr"/>
      <c r="F39" s="58" t="inlineStr">
        <is>
          <t>Class 20 (11/9) - 11-31, 11-52; 10 Points</t>
        </is>
      </c>
    </row>
    <row r="40">
      <c r="A40" s="62" t="inlineStr">
        <is>
          <t>Reading</t>
        </is>
      </c>
      <c r="B40" s="102" t="inlineStr"/>
      <c r="C40" s="102" t="inlineStr"/>
      <c r="D40" s="102" t="inlineStr">
        <is>
          <t>2026-11-16</t>
        </is>
      </c>
      <c r="E40" s="102" t="inlineStr"/>
      <c r="F40" s="58" t="inlineStr">
        <is>
          <t>Class 21 (11/16) - AI &amp; FP&amp;A</t>
        </is>
      </c>
    </row>
    <row r="41">
      <c r="A41" s="63" t="inlineStr">
        <is>
          <t>Homework</t>
        </is>
      </c>
      <c r="B41" s="102" t="inlineStr"/>
      <c r="C41" s="102" t="inlineStr"/>
      <c r="D41" s="102" t="inlineStr">
        <is>
          <t>2026-11-16</t>
        </is>
      </c>
      <c r="E41" s="102" t="inlineStr"/>
      <c r="F41" s="58" t="inlineStr">
        <is>
          <t>Class 21 (11/16) - 13-29, 13-33; 10 Points</t>
        </is>
      </c>
    </row>
    <row r="42">
      <c r="A42" s="62" t="inlineStr">
        <is>
          <t>Reading</t>
        </is>
      </c>
      <c r="B42" s="102" t="inlineStr"/>
      <c r="C42" s="102" t="inlineStr"/>
      <c r="D42" s="102" t="inlineStr">
        <is>
          <t>2026-12-02</t>
        </is>
      </c>
      <c r="E42" s="102" t="inlineStr"/>
      <c r="F42" s="58" t="inlineStr">
        <is>
          <t>Class 2 (12/2) - Catchup &amp; Final Review; Practice Final Questions Posted to Brightspace at; 5:00 PM</t>
        </is>
      </c>
    </row>
    <row r="43">
      <c r="A43" s="63" t="inlineStr">
        <is>
          <t>Homework</t>
        </is>
      </c>
      <c r="B43" s="102" t="inlineStr"/>
      <c r="C43" s="102" t="inlineStr"/>
      <c r="D43" s="102" t="inlineStr">
        <is>
          <t>2026-12-02</t>
        </is>
      </c>
      <c r="E43" s="102" t="inlineStr"/>
      <c r="F43" s="58" t="inlineStr">
        <is>
          <t>Class 2 (12/2) - 14-35, 14-41; 10 Points; Assignments listed Be-; low Due by11:59 PM; Linked In Learning; E</t>
        </is>
      </c>
    </row>
    <row r="44">
      <c r="A44" s="52" t="inlineStr">
        <is>
          <t>LinkedIn Learning Excel Certification</t>
        </is>
      </c>
      <c r="B44" s="100" t="inlineStr">
        <is>
          <t>75 pts</t>
        </is>
      </c>
      <c r="C44" s="101" t="inlineStr">
        <is>
          <t>2026-09-23</t>
        </is>
      </c>
      <c r="D44" s="101" t="inlineStr">
        <is>
          <t>2026-12-02</t>
        </is>
      </c>
      <c r="E44" s="101" t="inlineStr">
        <is>
          <t>No</t>
        </is>
      </c>
      <c r="F44" s="55">
        <f>HYPERLINK("https://raw.githubusercontent.com/vengeanceaiUSC/Syllabus-/cursor/add-syllabus-dissector-skill-a676/output/documents/buad-281-linkedin-learning-excel-certification.pdf","Open PDF")</f>
        <v/>
      </c>
    </row>
    <row r="45">
      <c r="A45" s="64" t="inlineStr">
        <is>
          <t>Certification</t>
        </is>
      </c>
      <c r="B45" s="102" t="inlineStr"/>
      <c r="C45" s="102" t="inlineStr">
        <is>
          <t>2026-09-23</t>
        </is>
      </c>
      <c r="D45" s="102" t="inlineStr">
        <is>
          <t>2026-12-02</t>
        </is>
      </c>
      <c r="E45" s="102" t="inlineStr"/>
      <c r="F45" s="58" t="inlineStr">
        <is>
          <t>LinkedIn Learning Excel Certification</t>
        </is>
      </c>
    </row>
    <row r="46">
      <c r="A46" s="59" t="inlineStr">
        <is>
          <t>Stukent Simternship</t>
        </is>
      </c>
      <c r="B46" s="100" t="inlineStr">
        <is>
          <t>75 pts</t>
        </is>
      </c>
      <c r="C46" s="103" t="inlineStr">
        <is>
          <t>2026-09-23</t>
        </is>
      </c>
      <c r="D46" s="103" t="inlineStr">
        <is>
          <t>2026-12-02</t>
        </is>
      </c>
      <c r="E46" s="103" t="inlineStr">
        <is>
          <t>No</t>
        </is>
      </c>
      <c r="F46" s="61">
        <f>HYPERLINK("https://raw.githubusercontent.com/vengeanceaiUSC/Syllabus-/cursor/add-syllabus-dissector-skill-a676/output/documents/buad-281-stukent-simternship.pdf","Open PDF")</f>
        <v/>
      </c>
    </row>
    <row r="47">
      <c r="A47" s="64" t="inlineStr">
        <is>
          <t>Certification</t>
        </is>
      </c>
      <c r="B47" s="102" t="inlineStr"/>
      <c r="C47" s="102" t="inlineStr">
        <is>
          <t>2026-09-23</t>
        </is>
      </c>
      <c r="D47" s="102" t="inlineStr">
        <is>
          <t>2026-12-02</t>
        </is>
      </c>
      <c r="E47" s="102" t="inlineStr"/>
      <c r="F47" s="58" t="inlineStr">
        <is>
          <t>Stukent Simternship</t>
        </is>
      </c>
    </row>
    <row r="48">
      <c r="A48" s="29" t="inlineStr">
        <is>
          <t>Total</t>
        </is>
      </c>
      <c r="B48" s="65" t="inlineStr">
        <is>
          <t>1070 pts</t>
        </is>
      </c>
    </row>
  </sheetData>
  <mergeCells count="5">
    <mergeCell ref="A2:F2"/>
    <mergeCell ref="B6:F6"/>
    <mergeCell ref="A1:F1"/>
    <mergeCell ref="B8:F8"/>
    <mergeCell ref="A7:F7"/>
  </mergeCells>
  <pageMargins left="0.75" right="0.75" top="1" bottom="1" header="0.5" footer="0.5"/>
</worksheet>
</file>

<file path=xl/worksheets/sheet3.xml><?xml version="1.0" encoding="utf-8"?>
<worksheet xmlns="http://schemas.openxmlformats.org/spreadsheetml/2006/main">
  <sheetPr>
    <tabColor rgb="00D62728"/>
    <outlinePr summaryBelow="1" summaryRight="1"/>
    <pageSetUpPr/>
  </sheetPr>
  <dimension ref="A1:F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27" t="inlineStr">
        <is>
          <t>HIST-103 — The Emergence of Modern Europe</t>
        </is>
      </c>
    </row>
    <row r="2" ht="40" customHeight="1">
      <c r="A2" s="28">
        <f>HYPERLINK("https://raw.githubusercontent.com/vengeanceaiUSC/Syllabus-/cursor/add-syllabus-dissector-skill-a676/output/sources/hist-103-source.pdf","SEE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Group Project</t>
        </is>
      </c>
      <c r="F9" s="32" t="inlineStr">
        <is>
          <t>Details</t>
        </is>
      </c>
    </row>
    <row r="10">
      <c r="A10" s="33" t="inlineStr">
        <is>
          <t>Sleep Paper</t>
        </is>
      </c>
      <c r="B10" s="116" t="inlineStr">
        <is>
          <t>20%</t>
        </is>
      </c>
      <c r="C10" s="117" t="inlineStr"/>
      <c r="D10" s="117" t="inlineStr">
        <is>
          <t>2026-09-15</t>
        </is>
      </c>
      <c r="E10" s="117" t="inlineStr">
        <is>
          <t>No</t>
        </is>
      </c>
      <c r="F10" s="36">
        <f>HYPERLINK("https://raw.githubusercontent.com/vengeanceaiUSC/Syllabus-/cursor/add-syllabus-dissector-skill-a676/output/documents/hist-103-sleep-paper.pdf","Open PDF")</f>
        <v/>
      </c>
    </row>
    <row r="11">
      <c r="A11" s="37" t="inlineStr">
        <is>
          <t>Assignment</t>
        </is>
      </c>
      <c r="B11" s="118" t="inlineStr"/>
      <c r="C11" s="118" t="inlineStr"/>
      <c r="D11" s="118" t="inlineStr">
        <is>
          <t>2026-09-15</t>
        </is>
      </c>
      <c r="E11" s="118" t="inlineStr"/>
      <c r="F11" s="39" t="inlineStr">
        <is>
          <t>Sleep Paper Due</t>
        </is>
      </c>
    </row>
    <row r="12">
      <c r="A12" s="40" t="inlineStr">
        <is>
          <t>Witchcraft Paper</t>
        </is>
      </c>
      <c r="B12" s="116" t="inlineStr">
        <is>
          <t>20%</t>
        </is>
      </c>
      <c r="C12" s="119" t="inlineStr"/>
      <c r="D12" s="119" t="inlineStr">
        <is>
          <t>2026-11-10</t>
        </is>
      </c>
      <c r="E12" s="119" t="inlineStr">
        <is>
          <t>No</t>
        </is>
      </c>
      <c r="F12" s="42">
        <f>HYPERLINK("https://raw.githubusercontent.com/vengeanceaiUSC/Syllabus-/cursor/add-syllabus-dissector-skill-a676/output/documents/hist-103-witchcraft-paper.pdf","Open PDF")</f>
        <v/>
      </c>
    </row>
    <row r="13">
      <c r="A13" s="37" t="inlineStr">
        <is>
          <t>Assignment</t>
        </is>
      </c>
      <c r="B13" s="118" t="inlineStr"/>
      <c r="C13" s="118" t="inlineStr"/>
      <c r="D13" s="118" t="inlineStr">
        <is>
          <t>2026-11-10</t>
        </is>
      </c>
      <c r="E13" s="118" t="inlineStr"/>
      <c r="F13" s="39" t="inlineStr">
        <is>
          <t>Witchcraft Paper Due</t>
        </is>
      </c>
    </row>
    <row r="14">
      <c r="A14" s="33" t="inlineStr">
        <is>
          <t>Mid-term</t>
        </is>
      </c>
      <c r="B14" s="116" t="inlineStr">
        <is>
          <t>20%</t>
        </is>
      </c>
      <c r="C14" s="117" t="inlineStr"/>
      <c r="D14" s="117" t="inlineStr">
        <is>
          <t>2026-10-09</t>
        </is>
      </c>
      <c r="E14" s="117" t="inlineStr">
        <is>
          <t>No</t>
        </is>
      </c>
      <c r="F14" s="36">
        <f>HYPERLINK("https://raw.githubusercontent.com/vengeanceaiUSC/Syllabus-/cursor/add-syllabus-dissector-skill-a676/output/documents/hist-103-mid-term.pdf","Open PDF")</f>
        <v/>
      </c>
    </row>
    <row r="15">
      <c r="A15" s="43" t="inlineStr">
        <is>
          <t>Exam</t>
        </is>
      </c>
      <c r="B15" s="118" t="inlineStr"/>
      <c r="C15" s="118" t="inlineStr"/>
      <c r="D15" s="118" t="inlineStr">
        <is>
          <t>2026-10-06</t>
        </is>
      </c>
      <c r="E15" s="118" t="inlineStr"/>
      <c r="F15" s="39" t="inlineStr">
        <is>
          <t>Midterm Exam</t>
        </is>
      </c>
    </row>
    <row r="16">
      <c r="A16" s="40" t="inlineStr">
        <is>
          <t>Final Exam</t>
        </is>
      </c>
      <c r="B16" s="116" t="inlineStr">
        <is>
          <t>20%</t>
        </is>
      </c>
      <c r="C16" s="119" t="inlineStr"/>
      <c r="D16" s="119" t="inlineStr">
        <is>
          <t>2026-09-17</t>
        </is>
      </c>
      <c r="E16" s="119" t="inlineStr">
        <is>
          <t>No</t>
        </is>
      </c>
      <c r="F16" s="42">
        <f>HYPERLINK("https://raw.githubusercontent.com/vengeanceaiUSC/Syllabus-/cursor/add-syllabus-dissector-skill-a676/output/documents/hist-103-final-exam.pdf","Open PDF")</f>
        <v/>
      </c>
    </row>
    <row r="17">
      <c r="A17" s="43" t="inlineStr">
        <is>
          <t>Exam</t>
        </is>
      </c>
      <c r="B17" s="118" t="inlineStr"/>
      <c r="C17" s="118" t="inlineStr"/>
      <c r="D17" s="118" t="inlineStr">
        <is>
          <t>2026-12-10</t>
        </is>
      </c>
      <c r="E17" s="118" t="inlineStr"/>
      <c r="F17" s="39" t="inlineStr">
        <is>
          <t>Final Exam</t>
        </is>
      </c>
    </row>
    <row r="18">
      <c r="A18" s="33" t="inlineStr">
        <is>
          <t>Discussion Section</t>
        </is>
      </c>
      <c r="B18" s="116" t="inlineStr">
        <is>
          <t>15%</t>
        </is>
      </c>
      <c r="C18" s="117" t="inlineStr"/>
      <c r="D18" s="117" t="inlineStr">
        <is>
          <t>2026-11-12</t>
        </is>
      </c>
      <c r="E18" s="117" t="inlineStr">
        <is>
          <t>Yes</t>
        </is>
      </c>
      <c r="F18" s="36">
        <f>HYPERLINK("https://raw.githubusercontent.com/vengeanceaiUSC/Syllabus-/cursor/add-syllabus-dissector-skill-a676/output/documents/hist-103-discussion-section.pdf","Open PDF")</f>
        <v/>
      </c>
    </row>
    <row r="19">
      <c r="A19" s="44" t="inlineStr">
        <is>
          <t>Reading</t>
        </is>
      </c>
      <c r="B19" s="118" t="inlineStr"/>
      <c r="C19" s="118" t="inlineStr">
        <is>
          <t>2026-08-25</t>
        </is>
      </c>
      <c r="D19" s="118" t="inlineStr">
        <is>
          <t>2026-08-29</t>
        </is>
      </c>
      <c r="E19" s="118" t="inlineStr"/>
      <c r="F19" s="39" t="inlineStr">
        <is>
          <t>Week Aug 25-29: Intro &amp; Black Death</t>
        </is>
      </c>
    </row>
    <row r="20">
      <c r="A20" s="44" t="inlineStr">
        <is>
          <t>Reading</t>
        </is>
      </c>
      <c r="B20" s="118" t="inlineStr"/>
      <c r="C20" s="118" t="inlineStr">
        <is>
          <t>2026-08-25</t>
        </is>
      </c>
      <c r="D20" s="118" t="inlineStr">
        <is>
          <t>2026-08-29</t>
        </is>
      </c>
      <c r="E20" s="118" t="inlineStr"/>
      <c r="F20" s="39" t="inlineStr">
        <is>
          <t>Week Aug 25-29: Intro &amp; Black Death - Section reading 1: Lizzie Wade, “From Black Death to fatal flu, past pandemics sho</t>
        </is>
      </c>
    </row>
    <row r="21">
      <c r="A21" s="44" t="inlineStr">
        <is>
          <t>Reading</t>
        </is>
      </c>
      <c r="B21" s="118" t="inlineStr"/>
      <c r="C21" s="118" t="inlineStr">
        <is>
          <t>2026-09-01</t>
        </is>
      </c>
      <c r="D21" s="118" t="inlineStr">
        <is>
          <t>2026-09-04</t>
        </is>
      </c>
      <c r="E21" s="118" t="inlineStr"/>
      <c r="F21" s="39" t="inlineStr">
        <is>
          <t>Week Sep 1-4: Everyday Life</t>
        </is>
      </c>
    </row>
    <row r="22">
      <c r="A22" s="44" t="inlineStr">
        <is>
          <t>Reading</t>
        </is>
      </c>
      <c r="B22" s="118" t="inlineStr"/>
      <c r="C22" s="118" t="inlineStr">
        <is>
          <t>2026-09-01</t>
        </is>
      </c>
      <c r="D22" s="118" t="inlineStr">
        <is>
          <t>2026-09-04</t>
        </is>
      </c>
      <c r="E22" s="118" t="inlineStr"/>
      <c r="F22" s="39" t="inlineStr">
        <is>
          <t>Week Sep 1-4: Everyday Life - Section reading 1: A Roger Ekirch, “Sleep we have lost: Pre-Industrial Slumber in the Brit</t>
        </is>
      </c>
    </row>
    <row r="23">
      <c r="A23" s="44" t="inlineStr">
        <is>
          <t>Reading</t>
        </is>
      </c>
      <c r="B23" s="118" t="inlineStr"/>
      <c r="C23" s="118" t="inlineStr">
        <is>
          <t>2026-09-08</t>
        </is>
      </c>
      <c r="D23" s="118" t="inlineStr">
        <is>
          <t>2026-09-11</t>
        </is>
      </c>
      <c r="E23" s="118" t="inlineStr"/>
      <c r="F23" s="39" t="inlineStr">
        <is>
          <t>Week Sep 8-11: Renaissance</t>
        </is>
      </c>
    </row>
    <row r="24">
      <c r="A24" s="44" t="inlineStr">
        <is>
          <t>Reading</t>
        </is>
      </c>
      <c r="B24" s="118" t="inlineStr"/>
      <c r="C24" s="118" t="inlineStr">
        <is>
          <t>2026-09-08</t>
        </is>
      </c>
      <c r="D24" s="118" t="inlineStr">
        <is>
          <t>2026-09-11</t>
        </is>
      </c>
      <c r="E24" s="118" t="inlineStr"/>
      <c r="F24" s="39" t="inlineStr">
        <is>
          <t>Week Sep 8-11: Renaissance - Section reading 1: Kay Daly, “Diverting the Flood of History: Ada Palmer’s Inventing the Re</t>
        </is>
      </c>
    </row>
    <row r="25">
      <c r="A25" s="44" t="inlineStr">
        <is>
          <t>Reading</t>
        </is>
      </c>
      <c r="B25" s="118" t="inlineStr"/>
      <c r="C25" s="118" t="inlineStr">
        <is>
          <t>2026-09-15</t>
        </is>
      </c>
      <c r="D25" s="118" t="inlineStr">
        <is>
          <t>2026-09-18</t>
        </is>
      </c>
      <c r="E25" s="118" t="inlineStr"/>
      <c r="F25" s="39" t="inlineStr">
        <is>
          <t>Week Sep 15-18: Renaissance</t>
        </is>
      </c>
    </row>
    <row r="26">
      <c r="A26" s="44" t="inlineStr">
        <is>
          <t>Reading</t>
        </is>
      </c>
      <c r="B26" s="118" t="inlineStr"/>
      <c r="C26" s="118" t="inlineStr">
        <is>
          <t>2026-09-15</t>
        </is>
      </c>
      <c r="D26" s="118" t="inlineStr">
        <is>
          <t>2026-09-18</t>
        </is>
      </c>
      <c r="E26" s="118" t="inlineStr"/>
      <c r="F26" s="39" t="inlineStr">
        <is>
          <t>Week Sep 15-18: Renaissance - Section reading 1: Vasari, Lives of the Artists: Leonardo da Vinci &amp; Properzia de’ Rossi V</t>
        </is>
      </c>
    </row>
    <row r="27">
      <c r="A27" s="44" t="inlineStr">
        <is>
          <t>Reading</t>
        </is>
      </c>
      <c r="B27" s="118" t="inlineStr"/>
      <c r="C27" s="118" t="inlineStr">
        <is>
          <t>2026-09-20</t>
        </is>
      </c>
      <c r="D27" s="118" t="inlineStr">
        <is>
          <t>2026-09-24</t>
        </is>
      </c>
      <c r="E27" s="118" t="inlineStr"/>
      <c r="F27" s="39" t="inlineStr">
        <is>
          <t>Week Sep 20-24: European Expansion</t>
        </is>
      </c>
    </row>
    <row r="28">
      <c r="A28" s="44" t="inlineStr">
        <is>
          <t>Reading</t>
        </is>
      </c>
      <c r="B28" s="118" t="inlineStr"/>
      <c r="C28" s="118" t="inlineStr">
        <is>
          <t>2026-09-20</t>
        </is>
      </c>
      <c r="D28" s="118" t="inlineStr">
        <is>
          <t>2026-09-24</t>
        </is>
      </c>
      <c r="E28" s="118" t="inlineStr"/>
      <c r="F28" s="39" t="inlineStr">
        <is>
          <t>Week Sep 20-24: European Expansion - Section reading 1: Jerry Brotton, The Renaissance Bazaar, Chap 1 (15 pgs) Read Colu</t>
        </is>
      </c>
    </row>
    <row r="29">
      <c r="A29" s="44" t="inlineStr">
        <is>
          <t>Reading</t>
        </is>
      </c>
      <c r="B29" s="118" t="inlineStr"/>
      <c r="C29" s="118" t="inlineStr">
        <is>
          <t>2026-09-20</t>
        </is>
      </c>
      <c r="D29" s="118" t="inlineStr">
        <is>
          <t>2026-09-24</t>
        </is>
      </c>
      <c r="E29" s="118" t="inlineStr"/>
      <c r="F29" s="39" t="inlineStr">
        <is>
          <t>Week Sep 20-24: European Expansion - Section reading 2: Bernal Diaz del Castillo, The True History of the Conquest of Ne</t>
        </is>
      </c>
    </row>
    <row r="30">
      <c r="A30" s="44" t="inlineStr">
        <is>
          <t>Reading</t>
        </is>
      </c>
      <c r="B30" s="118" t="inlineStr"/>
      <c r="C30" s="118" t="inlineStr">
        <is>
          <t>2026-10-06</t>
        </is>
      </c>
      <c r="D30" s="118" t="inlineStr">
        <is>
          <t>2026-10-09</t>
        </is>
      </c>
      <c r="E30" s="118" t="inlineStr"/>
      <c r="F30" s="39" t="inlineStr">
        <is>
          <t>Week Oct 6-9: Midterm &amp; Break</t>
        </is>
      </c>
    </row>
    <row r="31">
      <c r="A31" s="44" t="inlineStr">
        <is>
          <t>Reading</t>
        </is>
      </c>
      <c r="B31" s="118" t="inlineStr"/>
      <c r="C31" s="118" t="inlineStr">
        <is>
          <t>2026-10-13</t>
        </is>
      </c>
      <c r="D31" s="118" t="inlineStr">
        <is>
          <t>2026-10-16</t>
        </is>
      </c>
      <c r="E31" s="118" t="inlineStr"/>
      <c r="F31" s="39" t="inlineStr">
        <is>
          <t>Week Oct 13-16: The Reformation</t>
        </is>
      </c>
    </row>
    <row r="32">
      <c r="A32" s="44" t="inlineStr">
        <is>
          <t>Reading</t>
        </is>
      </c>
      <c r="B32" s="118" t="inlineStr"/>
      <c r="C32" s="118" t="inlineStr">
        <is>
          <t>2026-10-20</t>
        </is>
      </c>
      <c r="D32" s="118" t="inlineStr">
        <is>
          <t>2026-10-23</t>
        </is>
      </c>
      <c r="E32" s="118" t="inlineStr"/>
      <c r="F32" s="39" t="inlineStr">
        <is>
          <t>Week Oct 20-23: The Reformation</t>
        </is>
      </c>
    </row>
    <row r="33">
      <c r="A33" s="44" t="inlineStr">
        <is>
          <t>Reading</t>
        </is>
      </c>
      <c r="B33" s="118" t="inlineStr"/>
      <c r="C33" s="118" t="inlineStr">
        <is>
          <t>2026-10-27</t>
        </is>
      </c>
      <c r="D33" s="118" t="inlineStr">
        <is>
          <t>2026-10-30</t>
        </is>
      </c>
      <c r="E33" s="118" t="inlineStr"/>
      <c r="F33" s="39" t="inlineStr">
        <is>
          <t>Week Oct 27-30: Reformation</t>
        </is>
      </c>
    </row>
    <row r="34">
      <c r="A34" s="44" t="inlineStr">
        <is>
          <t>Reading</t>
        </is>
      </c>
      <c r="B34" s="118" t="inlineStr"/>
      <c r="C34" s="118" t="inlineStr">
        <is>
          <t>2026-10-27</t>
        </is>
      </c>
      <c r="D34" s="118" t="inlineStr">
        <is>
          <t>2026-10-30</t>
        </is>
      </c>
      <c r="E34" s="118" t="inlineStr"/>
      <c r="F34" s="39" t="inlineStr">
        <is>
          <t xml:space="preserve">Week Oct 27-30: Reformation - Section reading 1: Barbara Diefendorf, ed., The Saint Bartholomew’s Day Massacre: A Brief </t>
        </is>
      </c>
    </row>
    <row r="35">
      <c r="A35" s="44" t="inlineStr">
        <is>
          <t>Reading</t>
        </is>
      </c>
      <c r="B35" s="118" t="inlineStr"/>
      <c r="C35" s="118" t="inlineStr">
        <is>
          <t>2026-11-03</t>
        </is>
      </c>
      <c r="D35" s="118" t="inlineStr">
        <is>
          <t>2026-11-06</t>
        </is>
      </c>
      <c r="E35" s="118" t="inlineStr"/>
      <c r="F35" s="39" t="inlineStr">
        <is>
          <t>Week Nov 3-6: Witches &amp; Science</t>
        </is>
      </c>
    </row>
    <row r="36">
      <c r="A36" s="44" t="inlineStr">
        <is>
          <t>Reading</t>
        </is>
      </c>
      <c r="B36" s="118" t="inlineStr"/>
      <c r="C36" s="118" t="inlineStr">
        <is>
          <t>2026-11-03</t>
        </is>
      </c>
      <c r="D36" s="118" t="inlineStr">
        <is>
          <t>2026-11-06</t>
        </is>
      </c>
      <c r="E36" s="118" t="inlineStr"/>
      <c r="F36" s="39" t="inlineStr">
        <is>
          <t>Week Nov 3-6: Witches &amp; Science - Section reading 1: Brian Levack, The Witchcraft Sourcebook, Chaps 36-44, 46-47</t>
        </is>
      </c>
    </row>
    <row r="37">
      <c r="A37" s="44" t="inlineStr">
        <is>
          <t>Reading</t>
        </is>
      </c>
      <c r="B37" s="118" t="inlineStr"/>
      <c r="C37" s="118" t="inlineStr">
        <is>
          <t>2026-11-10</t>
        </is>
      </c>
      <c r="D37" s="118" t="inlineStr">
        <is>
          <t>2026-11-13</t>
        </is>
      </c>
      <c r="E37" s="118" t="inlineStr"/>
      <c r="F37" s="39" t="inlineStr">
        <is>
          <t>Week Nov 10-13: Enlightenment</t>
        </is>
      </c>
    </row>
    <row r="38">
      <c r="A38" s="44" t="inlineStr">
        <is>
          <t>Reading</t>
        </is>
      </c>
      <c r="B38" s="118" t="inlineStr"/>
      <c r="C38" s="118" t="inlineStr">
        <is>
          <t>2026-11-10</t>
        </is>
      </c>
      <c r="D38" s="118" t="inlineStr">
        <is>
          <t>2026-11-13</t>
        </is>
      </c>
      <c r="E38" s="118" t="inlineStr"/>
      <c r="F38" s="39" t="inlineStr">
        <is>
          <t>Week Nov 10-13: Enlightenment - Section reading 1: Excerpt: John Locke, Two Treatises of Government (1689) Excerpt: Rous</t>
        </is>
      </c>
    </row>
    <row r="39">
      <c r="A39" s="44" t="inlineStr">
        <is>
          <t>Reading</t>
        </is>
      </c>
      <c r="B39" s="118" t="inlineStr"/>
      <c r="C39" s="118" t="inlineStr">
        <is>
          <t>2026-11-17</t>
        </is>
      </c>
      <c r="D39" s="118" t="inlineStr">
        <is>
          <t>2026-11-20</t>
        </is>
      </c>
      <c r="E39" s="118" t="inlineStr"/>
      <c r="F39" s="39" t="inlineStr">
        <is>
          <t>Week Nov 17-20: Enlightenment</t>
        </is>
      </c>
    </row>
    <row r="40">
      <c r="A40" s="44" t="inlineStr">
        <is>
          <t>Reading</t>
        </is>
      </c>
      <c r="B40" s="118" t="inlineStr"/>
      <c r="C40" s="118" t="inlineStr">
        <is>
          <t>2026-11-17</t>
        </is>
      </c>
      <c r="D40" s="118" t="inlineStr">
        <is>
          <t>2026-11-20</t>
        </is>
      </c>
      <c r="E40" s="118" t="inlineStr"/>
      <c r="F40" s="39" t="inlineStr">
        <is>
          <t xml:space="preserve">Week Nov 17-20: Enlightenment - Section reading 1: Video: Africa &amp; Britain, A Forgotten History, Episode 2: Freedom (50 </t>
        </is>
      </c>
    </row>
    <row r="41">
      <c r="A41" s="44" t="inlineStr">
        <is>
          <t>Reading</t>
        </is>
      </c>
      <c r="B41" s="118" t="inlineStr"/>
      <c r="C41" s="118" t="inlineStr">
        <is>
          <t>2026-12-01</t>
        </is>
      </c>
      <c r="D41" s="118" t="inlineStr">
        <is>
          <t>2026-12-04</t>
        </is>
      </c>
      <c r="E41" s="118" t="inlineStr"/>
      <c r="F41" s="39" t="inlineStr">
        <is>
          <t>Week Dec 1-4: Modern Europe?</t>
        </is>
      </c>
    </row>
    <row r="42">
      <c r="A42" s="40" t="inlineStr">
        <is>
          <t>Identification Quizzes</t>
        </is>
      </c>
      <c r="B42" s="116" t="inlineStr">
        <is>
          <t>5%</t>
        </is>
      </c>
      <c r="C42" s="119" t="inlineStr"/>
      <c r="D42" s="119" t="inlineStr">
        <is>
          <t>2026-12-10</t>
        </is>
      </c>
      <c r="E42" s="119" t="inlineStr">
        <is>
          <t>No</t>
        </is>
      </c>
      <c r="F42" s="42">
        <f>HYPERLINK("https://raw.githubusercontent.com/vengeanceaiUSC/Syllabus-/cursor/add-syllabus-dissector-skill-a676/output/documents/hist-103-identification-quizzes.pdf","Open PDF")</f>
        <v/>
      </c>
    </row>
    <row r="43">
      <c r="A43" s="33" t="inlineStr">
        <is>
          <t>Extra Credit</t>
        </is>
      </c>
      <c r="B43" s="116" t="inlineStr">
        <is>
          <t>—</t>
        </is>
      </c>
      <c r="C43" s="117" t="inlineStr"/>
      <c r="D43" s="117" t="inlineStr">
        <is>
          <t>2026-12-04</t>
        </is>
      </c>
      <c r="E43" s="117" t="inlineStr">
        <is>
          <t>No</t>
        </is>
      </c>
      <c r="F43" s="36">
        <f>HYPERLINK("https://raw.githubusercontent.com/vengeanceaiUSC/Syllabus-/cursor/add-syllabus-dissector-skill-a676/output/documents/hist-103-extra-credit.pdf","Open PDF")</f>
        <v/>
      </c>
    </row>
    <row r="44">
      <c r="A44" s="29" t="inlineStr">
        <is>
          <t>Total</t>
        </is>
      </c>
      <c r="B44" s="45" t="inlineStr">
        <is>
          <t>100%</t>
        </is>
      </c>
    </row>
  </sheetData>
  <mergeCells count="4">
    <mergeCell ref="A2:F2"/>
    <mergeCell ref="A1:F1"/>
    <mergeCell ref="A7:F7"/>
    <mergeCell ref="B6:F6"/>
  </mergeCells>
  <pageMargins left="0.75" right="0.75" top="1" bottom="1" header="0.5" footer="0.5"/>
</worksheet>
</file>

<file path=xl/worksheets/sheet4.xml><?xml version="1.0" encoding="utf-8"?>
<worksheet xmlns="http://schemas.openxmlformats.org/spreadsheetml/2006/main">
  <sheetPr>
    <tabColor rgb="009467BD"/>
    <outlinePr summaryBelow="1" summaryRight="1"/>
    <pageSetUpPr/>
  </sheetPr>
  <dimension ref="A1:F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121" t="inlineStr">
        <is>
          <t>ECON-351 — Microeconomics for Business</t>
        </is>
      </c>
    </row>
    <row r="2" ht="40" customHeight="1">
      <c r="A2" s="28">
        <f>HYPERLINK("https://raw.githubusercontent.com/vengeanceaiUSC/Syllabus-/cursor/add-syllabus-dissector-skill-a676/output/sources/econ-351-source.pdf","SEE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Group Project</t>
        </is>
      </c>
      <c r="F9" s="123" t="inlineStr">
        <is>
          <t>Details</t>
        </is>
      </c>
    </row>
    <row r="10">
      <c r="A10" s="124" t="inlineStr">
        <is>
          <t>First midterm exam</t>
        </is>
      </c>
      <c r="B10" s="146" t="inlineStr">
        <is>
          <t>20%</t>
        </is>
      </c>
      <c r="C10" s="147" t="inlineStr"/>
      <c r="D10" s="147" t="inlineStr">
        <is>
          <t>2026-09-14</t>
        </is>
      </c>
      <c r="E10" s="147" t="inlineStr">
        <is>
          <t>No</t>
        </is>
      </c>
      <c r="F10" s="127">
        <f>HYPERLINK("https://raw.githubusercontent.com/vengeanceaiUSC/Syllabus-/cursor/add-syllabus-dissector-skill-a676/output/documents/econ-351-first-midterm-exam.pdf","Open PDF")</f>
        <v/>
      </c>
    </row>
    <row r="11">
      <c r="A11" s="128" t="inlineStr">
        <is>
          <t>Exam</t>
        </is>
      </c>
      <c r="B11" s="148" t="inlineStr"/>
      <c r="C11" s="148" t="inlineStr"/>
      <c r="D11" s="148" t="inlineStr">
        <is>
          <t>2026-09-14</t>
        </is>
      </c>
      <c r="E11" s="148" t="inlineStr"/>
      <c r="F11" s="130" t="inlineStr">
        <is>
          <t>Midterm 1 — covers Chapters 4 and 9</t>
        </is>
      </c>
    </row>
    <row r="12">
      <c r="A12" s="131" t="inlineStr">
        <is>
          <t>Second midterm exam</t>
        </is>
      </c>
      <c r="B12" s="146" t="inlineStr">
        <is>
          <t>20%</t>
        </is>
      </c>
      <c r="C12" s="149" t="inlineStr"/>
      <c r="D12" s="149" t="inlineStr">
        <is>
          <t>2026-10-12</t>
        </is>
      </c>
      <c r="E12" s="149" t="inlineStr">
        <is>
          <t>No</t>
        </is>
      </c>
      <c r="F12" s="133">
        <f>HYPERLINK("https://raw.githubusercontent.com/vengeanceaiUSC/Syllabus-/cursor/add-syllabus-dissector-skill-a676/output/documents/econ-351-second-midterm-exam.pdf","Open PDF")</f>
        <v/>
      </c>
    </row>
    <row r="13">
      <c r="A13" s="128" t="inlineStr">
        <is>
          <t>Exam</t>
        </is>
      </c>
      <c r="B13" s="148" t="inlineStr"/>
      <c r="C13" s="148" t="inlineStr"/>
      <c r="D13" s="148" t="inlineStr">
        <is>
          <t>2026-10-12</t>
        </is>
      </c>
      <c r="E13" s="148" t="inlineStr"/>
      <c r="F13" s="130" t="inlineStr">
        <is>
          <t>Midterm 2 — covers Chapters 3, 5, and 6</t>
        </is>
      </c>
    </row>
    <row r="14">
      <c r="A14" s="124" t="inlineStr">
        <is>
          <t>Third midterm exam</t>
        </is>
      </c>
      <c r="B14" s="146" t="inlineStr">
        <is>
          <t>20%</t>
        </is>
      </c>
      <c r="C14" s="147" t="inlineStr"/>
      <c r="D14" s="147" t="inlineStr">
        <is>
          <t>2026-11-04</t>
        </is>
      </c>
      <c r="E14" s="147" t="inlineStr">
        <is>
          <t>No</t>
        </is>
      </c>
      <c r="F14" s="127">
        <f>HYPERLINK("https://raw.githubusercontent.com/vengeanceaiUSC/Syllabus-/cursor/add-syllabus-dissector-skill-a676/output/documents/econ-351-third-midterm-exam.pdf","Open PDF")</f>
        <v/>
      </c>
    </row>
    <row r="15">
      <c r="A15" s="128" t="inlineStr">
        <is>
          <t>Exam</t>
        </is>
      </c>
      <c r="B15" s="148" t="inlineStr"/>
      <c r="C15" s="148" t="inlineStr"/>
      <c r="D15" s="148" t="inlineStr">
        <is>
          <t>2026-11-04</t>
        </is>
      </c>
      <c r="E15" s="148" t="inlineStr"/>
      <c r="F15" s="130" t="inlineStr">
        <is>
          <t>Midterm 3 — covers Chapters 7, 8, and 10</t>
        </is>
      </c>
    </row>
    <row r="16">
      <c r="A16" s="131" t="inlineStr">
        <is>
          <t>Fourth midterm exam</t>
        </is>
      </c>
      <c r="B16" s="146" t="inlineStr">
        <is>
          <t>20%</t>
        </is>
      </c>
      <c r="C16" s="149" t="inlineStr"/>
      <c r="D16" s="149" t="inlineStr">
        <is>
          <t>2026-12-02</t>
        </is>
      </c>
      <c r="E16" s="149" t="inlineStr">
        <is>
          <t>No</t>
        </is>
      </c>
      <c r="F16" s="133">
        <f>HYPERLINK("https://raw.githubusercontent.com/vengeanceaiUSC/Syllabus-/cursor/add-syllabus-dissector-skill-a676/output/documents/econ-351-fourth-midterm-exam.pdf","Open PDF")</f>
        <v/>
      </c>
    </row>
    <row r="17">
      <c r="A17" s="128" t="inlineStr">
        <is>
          <t>Exam</t>
        </is>
      </c>
      <c r="B17" s="148" t="inlineStr"/>
      <c r="C17" s="148" t="inlineStr"/>
      <c r="D17" s="148" t="inlineStr">
        <is>
          <t>2026-12-02</t>
        </is>
      </c>
      <c r="E17" s="148" t="inlineStr"/>
      <c r="F17" s="130" t="inlineStr">
        <is>
          <t>Midterm 4 — covers Chapters 11, 12, and 13</t>
        </is>
      </c>
    </row>
    <row r="18">
      <c r="A18" s="124" t="inlineStr">
        <is>
          <t>AI Forecast Project</t>
        </is>
      </c>
      <c r="B18" s="146" t="inlineStr">
        <is>
          <t>10%</t>
        </is>
      </c>
      <c r="C18" s="147" t="inlineStr"/>
      <c r="D18" s="147" t="inlineStr">
        <is>
          <t>2026-12-11</t>
        </is>
      </c>
      <c r="E18" s="147" t="inlineStr">
        <is>
          <t>No</t>
        </is>
      </c>
      <c r="F18" s="127">
        <f>HYPERLINK("https://raw.githubusercontent.com/vengeanceaiUSC/Syllabus-/cursor/add-syllabus-dissector-skill-a676/output/documents/econ-351-ai-forecast-project.pdf","Open PDF")</f>
        <v/>
      </c>
    </row>
    <row r="19">
      <c r="A19" s="134" t="inlineStr">
        <is>
          <t>Assignment</t>
        </is>
      </c>
      <c r="B19" s="148" t="inlineStr"/>
      <c r="C19" s="148" t="inlineStr"/>
      <c r="D19" s="148" t="inlineStr">
        <is>
          <t>2026-10-02</t>
        </is>
      </c>
      <c r="E19" s="148" t="inlineStr"/>
      <c r="F19" s="130" t="inlineStr">
        <is>
          <t>AI Forecast Project — Part I</t>
        </is>
      </c>
    </row>
    <row r="20">
      <c r="A20" s="134" t="inlineStr">
        <is>
          <t>Assignment</t>
        </is>
      </c>
      <c r="B20" s="148" t="inlineStr"/>
      <c r="C20" s="148" t="inlineStr"/>
      <c r="D20" s="148" t="inlineStr">
        <is>
          <t>2026-12-11</t>
        </is>
      </c>
      <c r="E20" s="148" t="inlineStr"/>
      <c r="F20" s="130" t="inlineStr">
        <is>
          <t>AI Forecast Project — Part II</t>
        </is>
      </c>
    </row>
    <row r="21">
      <c r="A21" s="131" t="inlineStr">
        <is>
          <t>Homework</t>
        </is>
      </c>
      <c r="B21" s="146" t="inlineStr">
        <is>
          <t>10%</t>
        </is>
      </c>
      <c r="C21" s="149" t="inlineStr"/>
      <c r="D21" s="149" t="inlineStr">
        <is>
          <t>2026-11-27</t>
        </is>
      </c>
      <c r="E21" s="149" t="inlineStr">
        <is>
          <t>No</t>
        </is>
      </c>
      <c r="F21" s="133">
        <f>HYPERLINK("https://raw.githubusercontent.com/vengeanceaiUSC/Syllabus-/cursor/add-syllabus-dissector-skill-a676/output/documents/econ-351-homework.pdf","Open PDF")</f>
        <v/>
      </c>
    </row>
    <row r="22">
      <c r="A22" s="135" t="inlineStr">
        <is>
          <t>Reading</t>
        </is>
      </c>
      <c r="B22" s="148" t="inlineStr"/>
      <c r="C22" s="148" t="inlineStr"/>
      <c r="D22" s="148" t="inlineStr"/>
      <c r="E22" s="148" t="inlineStr"/>
      <c r="F22" s="130" t="inlineStr">
        <is>
          <t>Finals Week: - AI Project – Part II due December 11</t>
        </is>
      </c>
    </row>
    <row r="23">
      <c r="A23" s="135" t="inlineStr">
        <is>
          <t>Reading</t>
        </is>
      </c>
      <c r="B23" s="148" t="inlineStr"/>
      <c r="C23" s="148" t="inlineStr"/>
      <c r="D23" s="148" t="inlineStr">
        <is>
          <t>2026-08-24</t>
        </is>
      </c>
      <c r="E23" s="148" t="inlineStr"/>
      <c r="F23" s="130" t="inlineStr">
        <is>
          <t>Week 1: Aug.24/26 - Complete the math self-assessment on Brightspace</t>
        </is>
      </c>
    </row>
    <row r="24">
      <c r="A24" s="135" t="inlineStr">
        <is>
          <t>Reading</t>
        </is>
      </c>
      <c r="B24" s="148" t="inlineStr"/>
      <c r="C24" s="148" t="inlineStr"/>
      <c r="D24" s="148" t="inlineStr">
        <is>
          <t>2026-08-24</t>
        </is>
      </c>
      <c r="E24" s="148" t="inlineStr"/>
      <c r="F24" s="130" t="inlineStr">
        <is>
          <t>Week 1: Aug.24/26 - Read Chapters 2 and 4</t>
        </is>
      </c>
    </row>
    <row r="25">
      <c r="A25" s="135" t="inlineStr">
        <is>
          <t>Reading</t>
        </is>
      </c>
      <c r="B25" s="148" t="inlineStr"/>
      <c r="C25" s="148" t="inlineStr"/>
      <c r="D25" s="148" t="inlineStr">
        <is>
          <t>2026-08-24</t>
        </is>
      </c>
      <c r="E25" s="148" t="inlineStr"/>
      <c r="F25" s="130" t="inlineStr">
        <is>
          <t>Week 1: Aug.24/26 - Read the syllabus</t>
        </is>
      </c>
    </row>
    <row r="26">
      <c r="A26" s="135" t="inlineStr">
        <is>
          <t>Reading</t>
        </is>
      </c>
      <c r="B26" s="148" t="inlineStr"/>
      <c r="C26" s="148" t="inlineStr"/>
      <c r="D26" s="148" t="inlineStr">
        <is>
          <t>2026-09-04</t>
        </is>
      </c>
      <c r="E26" s="148" t="inlineStr"/>
      <c r="F26" s="130" t="inlineStr">
        <is>
          <t>Week 2: Aug.31/Sep.2 - Begin Chapter 9: Uncertainty</t>
        </is>
      </c>
    </row>
    <row r="27">
      <c r="A27" s="135" t="inlineStr">
        <is>
          <t>Reading</t>
        </is>
      </c>
      <c r="B27" s="148" t="inlineStr"/>
      <c r="C27" s="148" t="inlineStr"/>
      <c r="D27" s="148" t="inlineStr">
        <is>
          <t>2026-09-04</t>
        </is>
      </c>
      <c r="E27" s="148" t="inlineStr"/>
      <c r="F27" s="130" t="inlineStr">
        <is>
          <t>Week 2: Aug.31/Sep.2 - Finish reading Chapter 4 (in-class dis- cussion)</t>
        </is>
      </c>
    </row>
    <row r="28">
      <c r="A28" s="136" t="inlineStr">
        <is>
          <t>Homework</t>
        </is>
      </c>
      <c r="B28" s="148" t="inlineStr"/>
      <c r="C28" s="148" t="inlineStr"/>
      <c r="D28" s="148" t="inlineStr">
        <is>
          <t>2026-09-04</t>
        </is>
      </c>
      <c r="E28" s="148" t="inlineStr"/>
      <c r="F28" s="130" t="inlineStr">
        <is>
          <t>Homework 1 (Chapter 4) — Brightspace, due 11:59 pm</t>
        </is>
      </c>
    </row>
    <row r="29">
      <c r="A29" s="135" t="inlineStr">
        <is>
          <t>Reading</t>
        </is>
      </c>
      <c r="B29" s="148" t="inlineStr"/>
      <c r="C29" s="148" t="inlineStr"/>
      <c r="D29" s="148" t="inlineStr">
        <is>
          <t>2026-09-11</t>
        </is>
      </c>
      <c r="E29" s="148" t="inlineStr"/>
      <c r="F29" s="130" t="inlineStr">
        <is>
          <t>Week 3: Sep.7/9 - Discussion of Chapter 9</t>
        </is>
      </c>
    </row>
    <row r="30">
      <c r="A30" s="135" t="inlineStr">
        <is>
          <t>Reading</t>
        </is>
      </c>
      <c r="B30" s="148" t="inlineStr"/>
      <c r="C30" s="148" t="inlineStr"/>
      <c r="D30" s="148" t="inlineStr">
        <is>
          <t>2026-09-11</t>
        </is>
      </c>
      <c r="E30" s="148" t="inlineStr"/>
      <c r="F30" s="130" t="inlineStr">
        <is>
          <t>Week 3: Sep.7/9 - No class Monday Sep.7 (Labor Day)</t>
        </is>
      </c>
    </row>
    <row r="31">
      <c r="A31" s="136" t="inlineStr">
        <is>
          <t>Homework</t>
        </is>
      </c>
      <c r="B31" s="148" t="inlineStr"/>
      <c r="C31" s="148" t="inlineStr"/>
      <c r="D31" s="148" t="inlineStr">
        <is>
          <t>2026-09-11</t>
        </is>
      </c>
      <c r="E31" s="148" t="inlineStr"/>
      <c r="F31" s="130" t="inlineStr">
        <is>
          <t>Homework 2 (Chapter 9) — Brightspace, due 11:59 pm</t>
        </is>
      </c>
    </row>
    <row r="32">
      <c r="A32" s="136" t="inlineStr">
        <is>
          <t>Homework</t>
        </is>
      </c>
      <c r="B32" s="148" t="inlineStr"/>
      <c r="C32" s="148" t="inlineStr"/>
      <c r="D32" s="148" t="inlineStr">
        <is>
          <t>2026-09-18</t>
        </is>
      </c>
      <c r="E32" s="148" t="inlineStr"/>
      <c r="F32" s="130" t="inlineStr">
        <is>
          <t>Homework 3 — Brightspace, due 11:59 pm</t>
        </is>
      </c>
    </row>
    <row r="33">
      <c r="A33" s="135" t="inlineStr">
        <is>
          <t>Reading</t>
        </is>
      </c>
      <c r="B33" s="148" t="inlineStr"/>
      <c r="C33" s="148" t="inlineStr"/>
      <c r="D33" s="148" t="inlineStr">
        <is>
          <t>2026-09-25</t>
        </is>
      </c>
      <c r="E33" s="148" t="inlineStr"/>
      <c r="F33" s="130" t="inlineStr">
        <is>
          <t>Week 5: Sep.21/23 - Complete the Chapter 3 - Part II home- work on Brightspace (due Sep.25)</t>
        </is>
      </c>
    </row>
    <row r="34">
      <c r="A34" s="135" t="inlineStr">
        <is>
          <t>Reading</t>
        </is>
      </c>
      <c r="B34" s="148" t="inlineStr"/>
      <c r="C34" s="148" t="inlineStr"/>
      <c r="D34" s="148" t="inlineStr">
        <is>
          <t>2026-09-25</t>
        </is>
      </c>
      <c r="E34" s="148" t="inlineStr"/>
      <c r="F34" s="130" t="inlineStr">
        <is>
          <t>Week 5: Sep.21/23 - Discussion of Chapter 3</t>
        </is>
      </c>
    </row>
    <row r="35">
      <c r="A35" s="135" t="inlineStr">
        <is>
          <t>Reading</t>
        </is>
      </c>
      <c r="B35" s="148" t="inlineStr"/>
      <c r="C35" s="148" t="inlineStr"/>
      <c r="D35" s="148" t="inlineStr">
        <is>
          <t>2026-09-25</t>
        </is>
      </c>
      <c r="E35" s="148" t="inlineStr"/>
      <c r="F35" s="130" t="inlineStr">
        <is>
          <t>Week 5: Sep.21/23 - Finish reading Chapter 3</t>
        </is>
      </c>
    </row>
    <row r="36">
      <c r="A36" s="136" t="inlineStr">
        <is>
          <t>Homework</t>
        </is>
      </c>
      <c r="B36" s="148" t="inlineStr"/>
      <c r="C36" s="148" t="inlineStr"/>
      <c r="D36" s="148" t="inlineStr">
        <is>
          <t>2026-09-25</t>
        </is>
      </c>
      <c r="E36" s="148" t="inlineStr"/>
      <c r="F36" s="130" t="inlineStr">
        <is>
          <t>Homework 4 (Chapter 3) — Brightspace, due 11:59 pm</t>
        </is>
      </c>
    </row>
    <row r="37">
      <c r="A37" s="135" t="inlineStr">
        <is>
          <t>Reading</t>
        </is>
      </c>
      <c r="B37" s="148" t="inlineStr"/>
      <c r="C37" s="148" t="inlineStr"/>
      <c r="D37" s="148" t="inlineStr">
        <is>
          <t>2026-10-02</t>
        </is>
      </c>
      <c r="E37" s="148" t="inlineStr"/>
      <c r="F37" s="130" t="inlineStr">
        <is>
          <t>Week 6: Sep.28/30 - AI Project – Part I due October 2</t>
        </is>
      </c>
    </row>
    <row r="38">
      <c r="A38" s="135" t="inlineStr">
        <is>
          <t>Reading</t>
        </is>
      </c>
      <c r="B38" s="148" t="inlineStr"/>
      <c r="C38" s="148" t="inlineStr"/>
      <c r="D38" s="148" t="inlineStr">
        <is>
          <t>2026-10-02</t>
        </is>
      </c>
      <c r="E38" s="148" t="inlineStr"/>
      <c r="F38" s="130" t="inlineStr">
        <is>
          <t>Week 6: Sep.28/30 - Discussion of Chapter 5</t>
        </is>
      </c>
    </row>
    <row r="39">
      <c r="A39" s="135" t="inlineStr">
        <is>
          <t>Reading</t>
        </is>
      </c>
      <c r="B39" s="148" t="inlineStr"/>
      <c r="C39" s="148" t="inlineStr"/>
      <c r="D39" s="148" t="inlineStr">
        <is>
          <t>2026-10-02</t>
        </is>
      </c>
      <c r="E39" s="148" t="inlineStr"/>
      <c r="F39" s="130" t="inlineStr">
        <is>
          <t>Week 6: Sep.28/30 - Read Chapter 5</t>
        </is>
      </c>
    </row>
    <row r="40">
      <c r="A40" s="136" t="inlineStr">
        <is>
          <t>Homework</t>
        </is>
      </c>
      <c r="B40" s="148" t="inlineStr"/>
      <c r="C40" s="148" t="inlineStr"/>
      <c r="D40" s="148" t="inlineStr">
        <is>
          <t>2026-10-02</t>
        </is>
      </c>
      <c r="E40" s="148" t="inlineStr"/>
      <c r="F40" s="130" t="inlineStr">
        <is>
          <t>Homework 5 (Chapter 5) — Brightspace, due 11:59 pm</t>
        </is>
      </c>
    </row>
    <row r="41">
      <c r="A41" s="135" t="inlineStr">
        <is>
          <t>Reading</t>
        </is>
      </c>
      <c r="B41" s="148" t="inlineStr"/>
      <c r="C41" s="148" t="inlineStr"/>
      <c r="D41" s="148" t="inlineStr">
        <is>
          <t>2026-10-09</t>
        </is>
      </c>
      <c r="E41" s="148" t="inlineStr"/>
      <c r="F41" s="130" t="inlineStr">
        <is>
          <t>Week 7: Oct.5/7 - Midterm review on Oct.7</t>
        </is>
      </c>
    </row>
    <row r="42">
      <c r="A42" s="135" t="inlineStr">
        <is>
          <t>Reading</t>
        </is>
      </c>
      <c r="B42" s="148" t="inlineStr"/>
      <c r="C42" s="148" t="inlineStr"/>
      <c r="D42" s="148" t="inlineStr">
        <is>
          <t>2026-10-09</t>
        </is>
      </c>
      <c r="E42" s="148" t="inlineStr"/>
      <c r="F42" s="130" t="inlineStr">
        <is>
          <t>Week 7: Oct.5/7 - Read Chapter 6</t>
        </is>
      </c>
    </row>
    <row r="43">
      <c r="A43" s="136" t="inlineStr">
        <is>
          <t>Homework</t>
        </is>
      </c>
      <c r="B43" s="148" t="inlineStr"/>
      <c r="C43" s="148" t="inlineStr"/>
      <c r="D43" s="148" t="inlineStr">
        <is>
          <t>2026-10-09</t>
        </is>
      </c>
      <c r="E43" s="148" t="inlineStr"/>
      <c r="F43" s="130" t="inlineStr">
        <is>
          <t>Homework 6 (Chapter 6) — Brightspace, due 11:59 pm</t>
        </is>
      </c>
    </row>
    <row r="44">
      <c r="A44" s="136" t="inlineStr">
        <is>
          <t>Homework</t>
        </is>
      </c>
      <c r="B44" s="148" t="inlineStr"/>
      <c r="C44" s="148" t="inlineStr"/>
      <c r="D44" s="148" t="inlineStr">
        <is>
          <t>2026-10-16</t>
        </is>
      </c>
      <c r="E44" s="148" t="inlineStr"/>
      <c r="F44" s="130" t="inlineStr">
        <is>
          <t>Homework 7 — Brightspace, due 11:59 pm</t>
        </is>
      </c>
    </row>
    <row r="45">
      <c r="A45" s="135" t="inlineStr">
        <is>
          <t>Reading</t>
        </is>
      </c>
      <c r="B45" s="148" t="inlineStr"/>
      <c r="C45" s="148" t="inlineStr"/>
      <c r="D45" s="148" t="inlineStr">
        <is>
          <t>2026-10-23</t>
        </is>
      </c>
      <c r="E45" s="148" t="inlineStr"/>
      <c r="F45" s="130" t="inlineStr">
        <is>
          <t>Week 9: Oct.19/21 - Read Chapter 8</t>
        </is>
      </c>
    </row>
    <row r="46">
      <c r="A46" s="136" t="inlineStr">
        <is>
          <t>Homework</t>
        </is>
      </c>
      <c r="B46" s="148" t="inlineStr"/>
      <c r="C46" s="148" t="inlineStr"/>
      <c r="D46" s="148" t="inlineStr">
        <is>
          <t>2026-10-23</t>
        </is>
      </c>
      <c r="E46" s="148" t="inlineStr"/>
      <c r="F46" s="130" t="inlineStr">
        <is>
          <t>Homework 8 (Chapter 8) — Brightspace, due 11:59 pm</t>
        </is>
      </c>
    </row>
    <row r="47">
      <c r="A47" s="135" t="inlineStr">
        <is>
          <t>Reading</t>
        </is>
      </c>
      <c r="B47" s="148" t="inlineStr"/>
      <c r="C47" s="148" t="inlineStr"/>
      <c r="D47" s="148" t="inlineStr">
        <is>
          <t>2026-10-30</t>
        </is>
      </c>
      <c r="E47" s="148" t="inlineStr"/>
      <c r="F47" s="130" t="inlineStr">
        <is>
          <t>Week 10: Oct.26/28 - Read Chapter 10</t>
        </is>
      </c>
    </row>
    <row r="48">
      <c r="A48" s="136" t="inlineStr">
        <is>
          <t>Homework</t>
        </is>
      </c>
      <c r="B48" s="148" t="inlineStr"/>
      <c r="C48" s="148" t="inlineStr"/>
      <c r="D48" s="148" t="inlineStr">
        <is>
          <t>2026-10-30</t>
        </is>
      </c>
      <c r="E48" s="148" t="inlineStr"/>
      <c r="F48" s="130" t="inlineStr">
        <is>
          <t>Homework 9 (Chapter 10) — Brightspace, due 11:59 pm</t>
        </is>
      </c>
    </row>
    <row r="49">
      <c r="A49" s="135" t="inlineStr">
        <is>
          <t>Reading</t>
        </is>
      </c>
      <c r="B49" s="148" t="inlineStr"/>
      <c r="C49" s="148" t="inlineStr"/>
      <c r="D49" s="148" t="inlineStr">
        <is>
          <t>2026-11-13</t>
        </is>
      </c>
      <c r="E49" s="148" t="inlineStr"/>
      <c r="F49" s="130" t="inlineStr">
        <is>
          <t>Week 12: Nov.9/11 - No class Wednesday Nov.11 (Veterans Day)</t>
        </is>
      </c>
    </row>
    <row r="50">
      <c r="A50" s="135" t="inlineStr">
        <is>
          <t>Reading</t>
        </is>
      </c>
      <c r="B50" s="148" t="inlineStr"/>
      <c r="C50" s="148" t="inlineStr"/>
      <c r="D50" s="148" t="inlineStr">
        <is>
          <t>2026-11-13</t>
        </is>
      </c>
      <c r="E50" s="148" t="inlineStr"/>
      <c r="F50" s="130" t="inlineStr">
        <is>
          <t>Week 12: Nov.9/11 - Read Chapter 11</t>
        </is>
      </c>
    </row>
    <row r="51">
      <c r="A51" s="136" t="inlineStr">
        <is>
          <t>Homework</t>
        </is>
      </c>
      <c r="B51" s="148" t="inlineStr"/>
      <c r="C51" s="148" t="inlineStr"/>
      <c r="D51" s="148" t="inlineStr">
        <is>
          <t>2026-11-13</t>
        </is>
      </c>
      <c r="E51" s="148" t="inlineStr"/>
      <c r="F51" s="130" t="inlineStr">
        <is>
          <t>Homework 10 (Chapter 11) — Brightspace, due 11:59 pm</t>
        </is>
      </c>
    </row>
    <row r="52">
      <c r="A52" s="135" t="inlineStr">
        <is>
          <t>Reading</t>
        </is>
      </c>
      <c r="B52" s="148" t="inlineStr"/>
      <c r="C52" s="148" t="inlineStr"/>
      <c r="D52" s="148" t="inlineStr">
        <is>
          <t>2026-11-20</t>
        </is>
      </c>
      <c r="E52" s="148" t="inlineStr"/>
      <c r="F52" s="130" t="inlineStr">
        <is>
          <t>Week 13: Nov.16/18 - Read Chapter 12</t>
        </is>
      </c>
    </row>
    <row r="53">
      <c r="A53" s="136" t="inlineStr">
        <is>
          <t>Homework</t>
        </is>
      </c>
      <c r="B53" s="148" t="inlineStr"/>
      <c r="C53" s="148" t="inlineStr"/>
      <c r="D53" s="148" t="inlineStr">
        <is>
          <t>2026-11-20</t>
        </is>
      </c>
      <c r="E53" s="148" t="inlineStr"/>
      <c r="F53" s="130" t="inlineStr">
        <is>
          <t>Homework 11 (Chapter 12) — Brightspace, due 11:59 pm</t>
        </is>
      </c>
    </row>
    <row r="54">
      <c r="A54" s="135" t="inlineStr">
        <is>
          <t>Reading</t>
        </is>
      </c>
      <c r="B54" s="148" t="inlineStr"/>
      <c r="C54" s="148" t="inlineStr"/>
      <c r="D54" s="148" t="inlineStr">
        <is>
          <t>2026-11-27</t>
        </is>
      </c>
      <c r="E54" s="148" t="inlineStr"/>
      <c r="F54" s="130" t="inlineStr">
        <is>
          <t>Week 14: Nov.23 - Complete the Chapter 12+13 home- work on Brightspace (due Nov.27)</t>
        </is>
      </c>
    </row>
    <row r="55">
      <c r="A55" s="135" t="inlineStr">
        <is>
          <t>Reading</t>
        </is>
      </c>
      <c r="B55" s="148" t="inlineStr"/>
      <c r="C55" s="148" t="inlineStr"/>
      <c r="D55" s="148" t="inlineStr">
        <is>
          <t>2026-11-27</t>
        </is>
      </c>
      <c r="E55" s="148" t="inlineStr"/>
      <c r="F55" s="130" t="inlineStr">
        <is>
          <t>Week 14: Nov.23 - No class Wednesday Nov.25 (Thanks- giving)</t>
        </is>
      </c>
    </row>
    <row r="56">
      <c r="A56" s="135" t="inlineStr">
        <is>
          <t>Reading</t>
        </is>
      </c>
      <c r="B56" s="148" t="inlineStr"/>
      <c r="C56" s="148" t="inlineStr"/>
      <c r="D56" s="148" t="inlineStr">
        <is>
          <t>2026-11-27</t>
        </is>
      </c>
      <c r="E56" s="148" t="inlineStr"/>
      <c r="F56" s="130" t="inlineStr">
        <is>
          <t>Week 14: Nov.23 - Read Chapter 13</t>
        </is>
      </c>
    </row>
    <row r="57">
      <c r="A57" s="136" t="inlineStr">
        <is>
          <t>Homework</t>
        </is>
      </c>
      <c r="B57" s="148" t="inlineStr"/>
      <c r="C57" s="148" t="inlineStr"/>
      <c r="D57" s="148" t="inlineStr">
        <is>
          <t>2026-11-27</t>
        </is>
      </c>
      <c r="E57" s="148" t="inlineStr"/>
      <c r="F57" s="130" t="inlineStr">
        <is>
          <t>Homework 12 (Chapter 13) — Brightspace, due 11:59 pm</t>
        </is>
      </c>
    </row>
    <row r="58">
      <c r="A58" s="124" t="inlineStr">
        <is>
          <t>Extra Credit</t>
        </is>
      </c>
      <c r="B58" s="146" t="inlineStr">
        <is>
          <t>—</t>
        </is>
      </c>
      <c r="C58" s="147" t="inlineStr"/>
      <c r="D58" s="147" t="inlineStr"/>
      <c r="E58" s="147" t="inlineStr">
        <is>
          <t>No</t>
        </is>
      </c>
      <c r="F58" s="127">
        <f>HYPERLINK("https://raw.githubusercontent.com/vengeanceaiUSC/Syllabus-/cursor/add-syllabus-dissector-skill-a676/output/documents/econ-351-extra-credit.pdf","Open PDF")</f>
        <v/>
      </c>
    </row>
    <row r="59">
      <c r="A59" s="29" t="inlineStr">
        <is>
          <t>Total</t>
        </is>
      </c>
      <c r="B59" s="137" t="inlineStr">
        <is>
          <t>100%</t>
        </is>
      </c>
    </row>
  </sheetData>
  <mergeCells count="4">
    <mergeCell ref="A2:F2"/>
    <mergeCell ref="A1:F1"/>
    <mergeCell ref="A7:F7"/>
    <mergeCell ref="B6:F6"/>
  </mergeCells>
  <pageMargins left="0.75" right="0.75" top="1" bottom="1" header="0.5" footer="0.5"/>
</worksheet>
</file>

<file path=xl/worksheets/sheet5.xml><?xml version="1.0" encoding="utf-8"?>
<worksheet xmlns="http://schemas.openxmlformats.org/spreadsheetml/2006/main">
  <sheetPr>
    <tabColor rgb="001F77B4"/>
    <outlinePr summaryBelow="1" summaryRight="1"/>
    <pageSetUpPr/>
  </sheetPr>
  <dimension ref="A1:F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66" t="inlineStr">
        <is>
          <t>BUAD-304 — Organizational Behavior and Leadership</t>
        </is>
      </c>
    </row>
    <row r="2" ht="40" customHeight="1">
      <c r="A2" s="28">
        <f>HYPERLINK("https://raw.githubusercontent.com/vengeanceaiUSC/Syllabus-/cursor/add-syllabus-dissector-skill-a676/output/sources/buad-304-source.pdf","SEE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Group Project</t>
        </is>
      </c>
      <c r="F10" s="69" t="inlineStr">
        <is>
          <t>Details</t>
        </is>
      </c>
    </row>
    <row r="11">
      <c r="A11" s="70" t="inlineStr">
        <is>
          <t>Final Exam</t>
        </is>
      </c>
      <c r="B11" s="158" t="inlineStr">
        <is>
          <t>25%</t>
        </is>
      </c>
      <c r="C11" s="159" t="inlineStr">
        <is>
          <t>2026-08-24</t>
        </is>
      </c>
      <c r="D11" s="159" t="inlineStr">
        <is>
          <t>2026-12-09</t>
        </is>
      </c>
      <c r="E11" s="159" t="inlineStr">
        <is>
          <t>No</t>
        </is>
      </c>
      <c r="F11" s="73">
        <f>HYPERLINK("https://raw.githubusercontent.com/vengeanceaiUSC/Syllabus-/cursor/add-syllabus-dissector-skill-a676/output/documents/buad-304-final-exam.pdf","Open PDF")</f>
        <v/>
      </c>
    </row>
    <row r="12">
      <c r="A12" s="74" t="inlineStr">
        <is>
          <t>Exam</t>
        </is>
      </c>
      <c r="B12" s="160" t="inlineStr"/>
      <c r="C12" s="160" t="inlineStr">
        <is>
          <t>2026-08-24</t>
        </is>
      </c>
      <c r="D12" s="160" t="inlineStr">
        <is>
          <t>2026-12-09</t>
        </is>
      </c>
      <c r="E12" s="160" t="inlineStr"/>
      <c r="F12" s="76" t="inlineStr">
        <is>
          <t>Final Exam</t>
        </is>
      </c>
    </row>
    <row r="13">
      <c r="A13" s="77" t="inlineStr">
        <is>
          <t>Participation</t>
        </is>
      </c>
      <c r="B13" s="158" t="inlineStr">
        <is>
          <t>15%</t>
        </is>
      </c>
      <c r="C13" s="161" t="inlineStr">
        <is>
          <t>2026-08-24</t>
        </is>
      </c>
      <c r="D13" s="161" t="inlineStr">
        <is>
          <t>2026-12-04</t>
        </is>
      </c>
      <c r="E13" s="161" t="inlineStr">
        <is>
          <t>No</t>
        </is>
      </c>
      <c r="F13" s="79">
        <f>HYPERLINK("https://raw.githubusercontent.com/vengeanceaiUSC/Syllabus-/cursor/add-syllabus-dissector-skill-a676/output/documents/buad-304-participation.pdf","Open PDF")</f>
        <v/>
      </c>
    </row>
    <row r="14">
      <c r="A14" s="80" t="inlineStr">
        <is>
          <t>Research</t>
        </is>
      </c>
      <c r="B14" s="160" t="inlineStr"/>
      <c r="C14" s="160" t="inlineStr">
        <is>
          <t>2026-08-24</t>
        </is>
      </c>
      <c r="D14" s="160" t="inlineStr"/>
      <c r="E14" s="160" t="inlineStr"/>
      <c r="F14" s="76" t="inlineStr">
        <is>
          <t>Research: SONA registration opens</t>
        </is>
      </c>
    </row>
    <row r="15">
      <c r="A15" s="80" t="inlineStr">
        <is>
          <t>Research</t>
        </is>
      </c>
      <c r="B15" s="160" t="inlineStr"/>
      <c r="C15" s="160" t="inlineStr">
        <is>
          <t>2026-09-11</t>
        </is>
      </c>
      <c r="D15" s="160" t="inlineStr"/>
      <c r="E15" s="160" t="inlineStr"/>
      <c r="F15" s="76" t="inlineStr">
        <is>
          <t>Research: Prescreening questionnaire opens</t>
        </is>
      </c>
    </row>
    <row r="16">
      <c r="A16" s="80" t="inlineStr">
        <is>
          <t>Research</t>
        </is>
      </c>
      <c r="B16" s="160" t="inlineStr"/>
      <c r="C16" s="160" t="inlineStr"/>
      <c r="D16" s="160" t="inlineStr">
        <is>
          <t>2026-09-25</t>
        </is>
      </c>
      <c r="E16" s="160" t="inlineStr"/>
      <c r="F16" s="76" t="inlineStr">
        <is>
          <t>Research: Setup deadline (registration, prescreening, contacts)</t>
        </is>
      </c>
    </row>
    <row r="17">
      <c r="A17" s="80" t="inlineStr">
        <is>
          <t>Research</t>
        </is>
      </c>
      <c r="B17" s="160" t="inlineStr"/>
      <c r="C17" s="160" t="inlineStr">
        <is>
          <t>2026-09-26</t>
        </is>
      </c>
      <c r="D17" s="160" t="inlineStr"/>
      <c r="E17" s="160" t="inlineStr"/>
      <c r="F17" s="76" t="inlineStr">
        <is>
          <t>Research: Study invitations begin (after setup)</t>
        </is>
      </c>
    </row>
    <row r="18">
      <c r="A18" s="80" t="inlineStr">
        <is>
          <t>Research</t>
        </is>
      </c>
      <c r="B18" s="160" t="inlineStr"/>
      <c r="C18" s="160" t="inlineStr"/>
      <c r="D18" s="160" t="inlineStr">
        <is>
          <t>2026-10-26</t>
        </is>
      </c>
      <c r="E18" s="160" t="inlineStr"/>
      <c r="F18" s="76" t="inlineStr">
        <is>
          <t>Research: Employee contact surveys sent</t>
        </is>
      </c>
    </row>
    <row r="19">
      <c r="A19" s="81" t="inlineStr">
        <is>
          <t>Assignment</t>
        </is>
      </c>
      <c r="B19" s="160" t="inlineStr">
        <is>
          <t>Not in syllabus (% of 15%)</t>
        </is>
      </c>
      <c r="C19" s="160" t="inlineStr">
        <is>
          <t>2026-08-24</t>
        </is>
      </c>
      <c r="D19" s="160" t="inlineStr">
        <is>
          <t>2026-12-04</t>
        </is>
      </c>
      <c r="E19" s="160" t="inlineStr"/>
      <c r="F19" s="76" t="inlineStr">
        <is>
          <t>Active Class Participation — attend MW sessions prepared; contribute to discussions and in-class activities (2 free abse</t>
        </is>
      </c>
    </row>
    <row r="20">
      <c r="A20" s="81" t="inlineStr">
        <is>
          <t>Assignment</t>
        </is>
      </c>
      <c r="B20" s="160" t="inlineStr">
        <is>
          <t>Not in syllabus (% of 15%)</t>
        </is>
      </c>
      <c r="C20" s="160" t="inlineStr">
        <is>
          <t>2026-09-07</t>
        </is>
      </c>
      <c r="D20" s="160" t="inlineStr">
        <is>
          <t>2026-12-04</t>
        </is>
      </c>
      <c r="E20" s="160" t="inlineStr"/>
      <c r="F20" s="76" t="inlineStr">
        <is>
          <t>Team Engagement — effective engagement with project team throughout semester</t>
        </is>
      </c>
    </row>
    <row r="21">
      <c r="A21" s="80" t="inlineStr">
        <is>
          <t>Research</t>
        </is>
      </c>
      <c r="B21" s="160" t="inlineStr">
        <is>
          <t>Not in syllabus (% of 15%)</t>
        </is>
      </c>
      <c r="C21" s="160" t="inlineStr">
        <is>
          <t>2026-08-24</t>
        </is>
      </c>
      <c r="D21" s="160" t="inlineStr">
        <is>
          <t>2026-12-04</t>
        </is>
      </c>
      <c r="E21" s="160" t="inlineStr"/>
      <c r="F21" s="76" t="inlineStr">
        <is>
          <t>Research Studies — complete 2.0 credits via SONA (register, setup, lab studies)</t>
        </is>
      </c>
    </row>
    <row r="22">
      <c r="A22" s="80" t="inlineStr">
        <is>
          <t>Research</t>
        </is>
      </c>
      <c r="B22" s="160" t="inlineStr"/>
      <c r="C22" s="160" t="inlineStr"/>
      <c r="D22" s="160" t="inlineStr">
        <is>
          <t>2026-12-04</t>
        </is>
      </c>
      <c r="E22" s="160" t="inlineStr"/>
      <c r="F22" s="76" t="inlineStr">
        <is>
          <t>Research: Complete 2.0 research credits</t>
        </is>
      </c>
    </row>
    <row r="23">
      <c r="A23" s="70" t="inlineStr">
        <is>
          <t>Midterm Exam</t>
        </is>
      </c>
      <c r="B23" s="158" t="inlineStr">
        <is>
          <t>15%</t>
        </is>
      </c>
      <c r="C23" s="159" t="inlineStr">
        <is>
          <t>2026-08-24</t>
        </is>
      </c>
      <c r="D23" s="159" t="inlineStr">
        <is>
          <t>2026-10-14</t>
        </is>
      </c>
      <c r="E23" s="159" t="inlineStr">
        <is>
          <t>No</t>
        </is>
      </c>
      <c r="F23" s="73">
        <f>HYPERLINK("https://raw.githubusercontent.com/vengeanceaiUSC/Syllabus-/cursor/add-syllabus-dissector-skill-a676/output/documents/buad-304-midterm-exam.pdf","Open PDF")</f>
        <v/>
      </c>
    </row>
    <row r="24">
      <c r="A24" s="74" t="inlineStr">
        <is>
          <t>Exam</t>
        </is>
      </c>
      <c r="B24" s="160" t="inlineStr"/>
      <c r="C24" s="160" t="inlineStr">
        <is>
          <t>2026-08-24</t>
        </is>
      </c>
      <c r="D24" s="160" t="inlineStr">
        <is>
          <t>2026-10-14</t>
        </is>
      </c>
      <c r="E24" s="160" t="inlineStr"/>
      <c r="F24" s="76" t="inlineStr">
        <is>
          <t>Midterm Exam</t>
        </is>
      </c>
    </row>
    <row r="25">
      <c r="A25" s="77" t="inlineStr">
        <is>
          <t>Team Project Paper</t>
        </is>
      </c>
      <c r="B25" s="158" t="inlineStr">
        <is>
          <t>15%</t>
        </is>
      </c>
      <c r="C25" s="161" t="inlineStr">
        <is>
          <t>2026-08-31</t>
        </is>
      </c>
      <c r="D25" s="161" t="inlineStr">
        <is>
          <t>2026-11-09</t>
        </is>
      </c>
      <c r="E25" s="161" t="inlineStr">
        <is>
          <t>Yes</t>
        </is>
      </c>
      <c r="F25" s="79">
        <f>HYPERLINK("https://raw.githubusercontent.com/vengeanceaiUSC/Syllabus-/cursor/add-syllabus-dissector-skill-a676/output/documents/buad-304-team-project-paper.pdf","Open PDF")</f>
        <v/>
      </c>
    </row>
    <row r="26">
      <c r="A26" s="81" t="inlineStr">
        <is>
          <t>Assignment</t>
        </is>
      </c>
      <c r="B26" s="160" t="inlineStr"/>
      <c r="C26" s="160" t="inlineStr">
        <is>
          <t>2026-08-31</t>
        </is>
      </c>
      <c r="D26" s="160" t="inlineStr">
        <is>
          <t>2026-10-19</t>
        </is>
      </c>
      <c r="E26" s="160" t="inlineStr"/>
      <c r="F26" s="76" t="inlineStr">
        <is>
          <t>Team project outline</t>
        </is>
      </c>
    </row>
    <row r="27">
      <c r="A27" s="81" t="inlineStr">
        <is>
          <t>Assignment</t>
        </is>
      </c>
      <c r="B27" s="160" t="inlineStr"/>
      <c r="C27" s="160" t="inlineStr">
        <is>
          <t>2026-08-31</t>
        </is>
      </c>
      <c r="D27" s="160" t="inlineStr">
        <is>
          <t>2026-11-09</t>
        </is>
      </c>
      <c r="E27" s="160" t="inlineStr"/>
      <c r="F27" s="76" t="inlineStr">
        <is>
          <t>Team project paper</t>
        </is>
      </c>
    </row>
    <row r="28">
      <c r="A28" s="70" t="inlineStr">
        <is>
          <t>Final Reflection Paper</t>
        </is>
      </c>
      <c r="B28" s="158" t="inlineStr">
        <is>
          <t>10%</t>
        </is>
      </c>
      <c r="C28" s="159" t="inlineStr">
        <is>
          <t>2026-08-31</t>
        </is>
      </c>
      <c r="D28" s="159" t="inlineStr">
        <is>
          <t>2026-12-02</t>
        </is>
      </c>
      <c r="E28" s="159" t="inlineStr">
        <is>
          <t>No</t>
        </is>
      </c>
      <c r="F28" s="73">
        <f>HYPERLINK("https://raw.githubusercontent.com/vengeanceaiUSC/Syllabus-/cursor/add-syllabus-dissector-skill-a676/output/documents/buad-304-final-reflection-paper.pdf","Open PDF")</f>
        <v/>
      </c>
    </row>
    <row r="29">
      <c r="A29" s="81" t="inlineStr">
        <is>
          <t>Assignment</t>
        </is>
      </c>
      <c r="B29" s="160" t="inlineStr"/>
      <c r="C29" s="160" t="inlineStr">
        <is>
          <t>2026-08-31</t>
        </is>
      </c>
      <c r="D29" s="160" t="inlineStr">
        <is>
          <t>2026-12-02</t>
        </is>
      </c>
      <c r="E29" s="160" t="inlineStr"/>
      <c r="F29" s="76" t="inlineStr">
        <is>
          <t>Personal Reflection Paper</t>
        </is>
      </c>
    </row>
    <row r="30">
      <c r="A30" s="77" t="inlineStr">
        <is>
          <t>Presentation</t>
        </is>
      </c>
      <c r="B30" s="158" t="inlineStr">
        <is>
          <t>10%</t>
        </is>
      </c>
      <c r="C30" s="161" t="inlineStr">
        <is>
          <t>2026-08-31</t>
        </is>
      </c>
      <c r="D30" s="161" t="inlineStr">
        <is>
          <t>2026-11-09</t>
        </is>
      </c>
      <c r="E30" s="161" t="inlineStr">
        <is>
          <t>Yes</t>
        </is>
      </c>
      <c r="F30" s="79">
        <f>HYPERLINK("https://raw.githubusercontent.com/vengeanceaiUSC/Syllabus-/cursor/add-syllabus-dissector-skill-a676/output/documents/buad-304-presentation.pdf","Open PDF")</f>
        <v/>
      </c>
    </row>
    <row r="31">
      <c r="A31" s="81" t="inlineStr">
        <is>
          <t>Assignment</t>
        </is>
      </c>
      <c r="B31" s="160" t="inlineStr"/>
      <c r="C31" s="160" t="inlineStr">
        <is>
          <t>2026-08-31</t>
        </is>
      </c>
      <c r="D31" s="160" t="inlineStr">
        <is>
          <t>2026-11-09</t>
        </is>
      </c>
      <c r="E31" s="160" t="inlineStr"/>
      <c r="F31" s="76" t="inlineStr">
        <is>
          <t>Presentation slides</t>
        </is>
      </c>
    </row>
    <row r="32">
      <c r="A32" s="70" t="inlineStr">
        <is>
          <t>Case Analysis Assignments</t>
        </is>
      </c>
      <c r="B32" s="158" t="inlineStr">
        <is>
          <t>5%</t>
        </is>
      </c>
      <c r="C32" s="159" t="inlineStr">
        <is>
          <t>2026-08-26</t>
        </is>
      </c>
      <c r="D32" s="159" t="inlineStr">
        <is>
          <t>2026-10-21</t>
        </is>
      </c>
      <c r="E32" s="159" t="inlineStr">
        <is>
          <t>No</t>
        </is>
      </c>
      <c r="F32" s="73">
        <f>HYPERLINK("https://raw.githubusercontent.com/vengeanceaiUSC/Syllabus-/cursor/add-syllabus-dissector-skill-a676/output/documents/buad-304-case-analysis-assignments.pdf","Open PDF")</f>
        <v/>
      </c>
    </row>
    <row r="33">
      <c r="A33" s="81" t="inlineStr">
        <is>
          <t>Assignment</t>
        </is>
      </c>
      <c r="B33" s="160" t="inlineStr"/>
      <c r="C33" s="160" t="inlineStr">
        <is>
          <t>2026-08-26</t>
        </is>
      </c>
      <c r="D33" s="160" t="inlineStr">
        <is>
          <t>2026-09-16</t>
        </is>
      </c>
      <c r="E33" s="160" t="inlineStr"/>
      <c r="F33" s="76" t="inlineStr">
        <is>
          <t>Thomas Green Case Analysis Memo</t>
        </is>
      </c>
    </row>
    <row r="34">
      <c r="A34" s="81" t="inlineStr">
        <is>
          <t>Assignment</t>
        </is>
      </c>
      <c r="B34" s="160" t="inlineStr"/>
      <c r="C34" s="160" t="inlineStr">
        <is>
          <t>2026-08-26</t>
        </is>
      </c>
      <c r="D34" s="160" t="inlineStr">
        <is>
          <t>2026-10-21</t>
        </is>
      </c>
      <c r="E34" s="160" t="inlineStr"/>
      <c r="F34" s="76" t="inlineStr">
        <is>
          <t>SkillsForTomorrow Analysis Memo</t>
        </is>
      </c>
    </row>
    <row r="35">
      <c r="A35" s="77" t="inlineStr">
        <is>
          <t>Proposal &amp; Team Contract</t>
        </is>
      </c>
      <c r="B35" s="158" t="inlineStr">
        <is>
          <t>3%</t>
        </is>
      </c>
      <c r="C35" s="161" t="inlineStr">
        <is>
          <t>2026-08-31</t>
        </is>
      </c>
      <c r="D35" s="161" t="inlineStr">
        <is>
          <t>2026-09-28</t>
        </is>
      </c>
      <c r="E35" s="161" t="inlineStr">
        <is>
          <t>Yes</t>
        </is>
      </c>
      <c r="F35" s="79">
        <f>HYPERLINK("https://raw.githubusercontent.com/vengeanceaiUSC/Syllabus-/cursor/add-syllabus-dissector-skill-a676/output/documents/buad-304-proposal-team-contract.pdf","Open PDF")</f>
        <v/>
      </c>
    </row>
    <row r="36">
      <c r="A36" s="81" t="inlineStr">
        <is>
          <t>Assignment</t>
        </is>
      </c>
      <c r="B36" s="160" t="inlineStr"/>
      <c r="C36" s="160" t="inlineStr">
        <is>
          <t>2026-08-31</t>
        </is>
      </c>
      <c r="D36" s="160" t="inlineStr">
        <is>
          <t>2026-09-28</t>
        </is>
      </c>
      <c r="E36" s="160" t="inlineStr"/>
      <c r="F36" s="76" t="inlineStr">
        <is>
          <t>Team project proposal &amp; team contract</t>
        </is>
      </c>
    </row>
    <row r="37">
      <c r="A37" s="70" t="inlineStr">
        <is>
          <t>Self &amp; Peer Evaluation</t>
        </is>
      </c>
      <c r="B37" s="158" t="inlineStr">
        <is>
          <t>2%</t>
        </is>
      </c>
      <c r="C37" s="159" t="inlineStr">
        <is>
          <t>2026-08-31</t>
        </is>
      </c>
      <c r="D37" s="159" t="inlineStr">
        <is>
          <t>2026-11-18</t>
        </is>
      </c>
      <c r="E37" s="159" t="inlineStr">
        <is>
          <t>Yes</t>
        </is>
      </c>
      <c r="F37" s="73">
        <f>HYPERLINK("https://raw.githubusercontent.com/vengeanceaiUSC/Syllabus-/cursor/add-syllabus-dissector-skill-a676/output/documents/buad-304-self-peer-evaluation.pdf","Open PDF")</f>
        <v/>
      </c>
    </row>
    <row r="38">
      <c r="A38" s="81" t="inlineStr">
        <is>
          <t>Assignment</t>
        </is>
      </c>
      <c r="B38" s="160" t="inlineStr"/>
      <c r="C38" s="160" t="inlineStr">
        <is>
          <t>2026-08-31</t>
        </is>
      </c>
      <c r="D38" s="160" t="inlineStr">
        <is>
          <t>2026-11-18</t>
        </is>
      </c>
      <c r="E38" s="160" t="inlineStr"/>
      <c r="F38" s="76" t="inlineStr">
        <is>
          <t>Self &amp; peer evaluation</t>
        </is>
      </c>
    </row>
    <row r="39">
      <c r="A39" s="77" t="inlineStr">
        <is>
          <t>Personal Assessments (Connect)</t>
        </is>
      </c>
      <c r="B39" s="158" t="inlineStr">
        <is>
          <t>—</t>
        </is>
      </c>
      <c r="C39" s="161" t="inlineStr"/>
      <c r="D39" s="161" t="inlineStr">
        <is>
          <t>2026-12-20</t>
        </is>
      </c>
      <c r="E39" s="161" t="inlineStr">
        <is>
          <t>No</t>
        </is>
      </c>
      <c r="F39" s="79">
        <f>HYPERLINK("https://raw.githubusercontent.com/vengeanceaiUSC/Syllabus-/cursor/add-syllabus-dissector-skill-a676/output/documents/buad-304-personal-assessments-connect.pdf","Open PDF")</f>
        <v/>
      </c>
    </row>
    <row r="40">
      <c r="A40" s="82" t="inlineStr">
        <is>
          <t>Homework</t>
        </is>
      </c>
      <c r="B40" s="160" t="inlineStr"/>
      <c r="C40" s="160" t="inlineStr"/>
      <c r="D40" s="160" t="inlineStr">
        <is>
          <t>2026-08-31</t>
        </is>
      </c>
      <c r="E40" s="160" t="inlineStr"/>
      <c r="F40" s="76" t="inlineStr">
        <is>
          <t>Connect: Self-Assessment 3.01 - What is my Big thinking about your topics and</t>
        </is>
      </c>
    </row>
    <row r="41">
      <c r="A41" s="82" t="inlineStr">
        <is>
          <t>Homework</t>
        </is>
      </c>
      <c r="B41" s="160" t="inlineStr"/>
      <c r="C41" s="160" t="inlineStr"/>
      <c r="D41" s="160" t="inlineStr">
        <is>
          <t>2026-08-31</t>
        </is>
      </c>
      <c r="E41" s="160" t="inlineStr"/>
      <c r="F41" s="76" t="inlineStr">
        <is>
          <t>Connect: Self-Assessment 3.04 - What Is Your Level</t>
        </is>
      </c>
    </row>
    <row r="42">
      <c r="A42" s="82" t="inlineStr">
        <is>
          <t>Homework</t>
        </is>
      </c>
      <c r="B42" s="160" t="inlineStr"/>
      <c r="C42" s="160" t="inlineStr"/>
      <c r="D42" s="160" t="inlineStr">
        <is>
          <t>2026-09-02</t>
        </is>
      </c>
      <c r="E42" s="160" t="inlineStr"/>
      <c r="F42" s="76" t="inlineStr">
        <is>
          <t>Connect: Self-Assessment 5.01 - Assessing Your</t>
        </is>
      </c>
    </row>
    <row r="43">
      <c r="A43" s="82" t="inlineStr">
        <is>
          <t>Homework</t>
        </is>
      </c>
      <c r="B43" s="160" t="inlineStr"/>
      <c r="C43" s="160" t="inlineStr"/>
      <c r="D43" s="160" t="inlineStr">
        <is>
          <t>2026-09-04</t>
        </is>
      </c>
      <c r="E43" s="160" t="inlineStr"/>
      <c r="F43" s="76" t="inlineStr">
        <is>
          <t>Connect: Sharpen Companion</t>
        </is>
      </c>
    </row>
    <row r="44">
      <c r="A44" s="82" t="inlineStr">
        <is>
          <t>Homework</t>
        </is>
      </c>
      <c r="B44" s="160" t="inlineStr"/>
      <c r="C44" s="160" t="inlineStr"/>
      <c r="D44" s="160" t="inlineStr">
        <is>
          <t>2026-09-09</t>
        </is>
      </c>
      <c r="E44" s="160" t="inlineStr"/>
      <c r="F44" s="76" t="inlineStr">
        <is>
          <t>Connect: Self-Assessment 11.01 - What is my</t>
        </is>
      </c>
    </row>
    <row r="45">
      <c r="A45" s="82" t="inlineStr">
        <is>
          <t>Homework</t>
        </is>
      </c>
      <c r="B45" s="160" t="inlineStr"/>
      <c r="C45" s="160" t="inlineStr"/>
      <c r="D45" s="160" t="inlineStr">
        <is>
          <t>2026-09-09</t>
        </is>
      </c>
      <c r="E45" s="160" t="inlineStr"/>
      <c r="F45" s="76" t="inlineStr">
        <is>
          <t>Connect: Self-Assessment 11.02 - What is my</t>
        </is>
      </c>
    </row>
    <row r="46">
      <c r="A46" s="82" t="inlineStr">
        <is>
          <t>Homework</t>
        </is>
      </c>
      <c r="B46" s="160" t="inlineStr"/>
      <c r="C46" s="160" t="inlineStr"/>
      <c r="D46" s="160" t="inlineStr">
        <is>
          <t>2026-09-16</t>
        </is>
      </c>
      <c r="E46" s="160" t="inlineStr"/>
      <c r="F46" s="76" t="inlineStr">
        <is>
          <t>Connect: Self-Assessment 12.01 - What kind of</t>
        </is>
      </c>
    </row>
    <row r="47">
      <c r="A47" s="82" t="inlineStr">
        <is>
          <t>Homework</t>
        </is>
      </c>
      <c r="B47" s="160" t="inlineStr"/>
      <c r="C47" s="160" t="inlineStr"/>
      <c r="D47" s="160" t="inlineStr">
        <is>
          <t>2026-09-28</t>
        </is>
      </c>
      <c r="E47" s="160" t="inlineStr"/>
      <c r="F47" s="76" t="inlineStr">
        <is>
          <t>Connect: Self-Assessment 10.5 - Preferred Conflict</t>
        </is>
      </c>
    </row>
    <row r="48">
      <c r="A48" s="82" t="inlineStr">
        <is>
          <t>Homework</t>
        </is>
      </c>
      <c r="B48" s="160" t="inlineStr"/>
      <c r="C48" s="160" t="inlineStr"/>
      <c r="D48" s="160" t="inlineStr">
        <is>
          <t>2026-09-28</t>
        </is>
      </c>
      <c r="E48" s="160" t="inlineStr"/>
      <c r="F48" s="76" t="inlineStr">
        <is>
          <t>Connect: Self-Assessment 9.01 - Assessing My</t>
        </is>
      </c>
    </row>
    <row r="49">
      <c r="A49" s="82" t="inlineStr">
        <is>
          <t>Homework</t>
        </is>
      </c>
      <c r="B49" s="160" t="inlineStr"/>
      <c r="C49" s="160" t="inlineStr"/>
      <c r="D49" s="160" t="inlineStr">
        <is>
          <t>2026-10-19</t>
        </is>
      </c>
      <c r="E49" s="160" t="inlineStr"/>
      <c r="F49" s="76" t="inlineStr">
        <is>
          <t>Connect: Self-Assessment 8.01 - Group</t>
        </is>
      </c>
    </row>
    <row r="50">
      <c r="A50" s="82" t="inlineStr">
        <is>
          <t>Homework</t>
        </is>
      </c>
      <c r="B50" s="160" t="inlineStr"/>
      <c r="C50" s="160" t="inlineStr"/>
      <c r="D50" s="160" t="inlineStr">
        <is>
          <t>2026-11-04</t>
        </is>
      </c>
      <c r="E50" s="160" t="inlineStr"/>
      <c r="F50" s="76" t="inlineStr">
        <is>
          <t>Connect: Self-Assessment 14.02 - What Type of Organizational Culture Do I</t>
        </is>
      </c>
    </row>
    <row r="51">
      <c r="A51" s="82" t="inlineStr">
        <is>
          <t>Homework</t>
        </is>
      </c>
      <c r="B51" s="160" t="inlineStr"/>
      <c r="C51" s="160" t="inlineStr"/>
      <c r="D51" s="160" t="inlineStr">
        <is>
          <t>2026-11-30</t>
        </is>
      </c>
      <c r="E51" s="160" t="inlineStr"/>
      <c r="F51" s="76" t="inlineStr">
        <is>
          <t>Connect: Self-Assessment 16.02 - What Is Your</t>
        </is>
      </c>
    </row>
    <row r="52">
      <c r="A52" s="82" t="inlineStr">
        <is>
          <t>Homework</t>
        </is>
      </c>
      <c r="B52" s="160" t="inlineStr"/>
      <c r="C52" s="160" t="inlineStr"/>
      <c r="D52" s="160" t="inlineStr">
        <is>
          <t>2026-11-30</t>
        </is>
      </c>
      <c r="E52" s="160" t="inlineStr"/>
      <c r="F52" s="76" t="inlineStr">
        <is>
          <t>Connect: Self-Assessment 16.03 - Assessing Your</t>
        </is>
      </c>
    </row>
    <row r="53">
      <c r="A53" s="82" t="inlineStr">
        <is>
          <t>Homework</t>
        </is>
      </c>
      <c r="B53" s="160" t="inlineStr"/>
      <c r="C53" s="160" t="inlineStr"/>
      <c r="D53" s="160" t="inlineStr">
        <is>
          <t>2026-12-20</t>
        </is>
      </c>
      <c r="E53" s="160" t="inlineStr"/>
      <c r="F53" s="76" t="inlineStr">
        <is>
          <t>Connect: Self-Assessment 12.02 - Which influence</t>
        </is>
      </c>
    </row>
    <row r="54">
      <c r="A54" s="29" t="inlineStr">
        <is>
          <t>Total</t>
        </is>
      </c>
      <c r="B54" s="83" t="inlineStr">
        <is>
          <t>100%</t>
        </is>
      </c>
    </row>
  </sheetData>
  <mergeCells count="5">
    <mergeCell ref="A2:F2"/>
    <mergeCell ref="B6:F6"/>
    <mergeCell ref="A1:F1"/>
    <mergeCell ref="B8:F8"/>
    <mergeCell ref="A7:F7"/>
  </mergeCells>
  <pageMargins left="0.75" right="0.75" top="1" bottom="1" header="0.5" footer="0.5"/>
</worksheet>
</file>

<file path=xl/worksheets/sheet6.xml><?xml version="1.0" encoding="utf-8"?>
<worksheet xmlns="http://schemas.openxmlformats.org/spreadsheetml/2006/main">
  <sheetPr>
    <tabColor rgb="002CA02C"/>
    <outlinePr summaryBelow="1" summaryRight="1"/>
    <pageSetUpPr/>
  </sheetPr>
  <dimension ref="A1:F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162" t="inlineStr">
        <is>
          <t>SPAN-290 — Introduction to Latin American and Iberian Studies</t>
        </is>
      </c>
    </row>
    <row r="2" ht="40" customHeight="1">
      <c r="A2" s="28">
        <f>HYPERLINK("https://raw.githubusercontent.com/vengeanceaiUSC/Syllabus-/cursor/add-syllabus-dissector-skill-a676/output/sources/span-290-source.pdf","SEE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Group Project</t>
        </is>
      </c>
      <c r="F9" s="164" t="inlineStr">
        <is>
          <t>Details</t>
        </is>
      </c>
    </row>
    <row r="10">
      <c r="A10" s="165" t="inlineStr">
        <is>
          <t>Reading Notes</t>
        </is>
      </c>
      <c r="B10" s="190" t="inlineStr">
        <is>
          <t>100 pts</t>
        </is>
      </c>
      <c r="C10" s="191" t="inlineStr"/>
      <c r="D10" s="191" t="inlineStr"/>
      <c r="E10" s="191" t="inlineStr">
        <is>
          <t>No</t>
        </is>
      </c>
      <c r="F10" s="168">
        <f>HYPERLINK("https://raw.githubusercontent.com/vengeanceaiUSC/Syllabus-/cursor/add-syllabus-dissector-skill-a676/output/documents/span-290-reading-notes.pdf","Open PDF")</f>
        <v/>
      </c>
    </row>
    <row r="11">
      <c r="A11" s="169" t="inlineStr">
        <is>
          <t>Reading</t>
        </is>
      </c>
      <c r="B11" s="192" t="inlineStr"/>
      <c r="C11" s="192" t="inlineStr"/>
      <c r="D11" s="192" t="inlineStr">
        <is>
          <t>2026-08-25</t>
        </is>
      </c>
      <c r="E11" s="192" t="inlineStr"/>
      <c r="F11" s="171" t="inlineStr">
        <is>
          <t>08-25 — Introduction to Course</t>
        </is>
      </c>
    </row>
    <row r="12">
      <c r="A12" s="169" t="inlineStr">
        <is>
          <t>Reading</t>
        </is>
      </c>
      <c r="B12" s="192" t="inlineStr"/>
      <c r="C12" s="192" t="inlineStr"/>
      <c r="D12" s="192" t="inlineStr">
        <is>
          <t>2026-08-27</t>
        </is>
      </c>
      <c r="E12" s="192" t="inlineStr"/>
      <c r="F12" s="171" t="inlineStr">
        <is>
          <t>08-27 — New Worlds — Christopher Columbus, “Digest of Columbus’s Log-Book on his First Voyage Made by Bartolomé</t>
        </is>
      </c>
    </row>
    <row r="13">
      <c r="A13" s="169" t="inlineStr">
        <is>
          <t>Reading</t>
        </is>
      </c>
      <c r="B13" s="192" t="inlineStr"/>
      <c r="C13" s="192" t="inlineStr"/>
      <c r="D13" s="192" t="inlineStr">
        <is>
          <t>2026-08-27</t>
        </is>
      </c>
      <c r="E13" s="192" t="inlineStr"/>
      <c r="F13" s="171" t="inlineStr">
        <is>
          <t>08-27 — New Worlds — El requerimiento</t>
        </is>
      </c>
    </row>
    <row r="14">
      <c r="A14" s="169" t="inlineStr">
        <is>
          <t>Reading</t>
        </is>
      </c>
      <c r="B14" s="192" t="inlineStr"/>
      <c r="C14" s="192" t="inlineStr"/>
      <c r="D14" s="192" t="inlineStr">
        <is>
          <t>2026-09-01</t>
        </is>
      </c>
      <c r="E14" s="192" t="inlineStr"/>
      <c r="F14" s="171" t="inlineStr">
        <is>
          <t>09-01 — New Worlds — Hernán Cortés, Second Letter</t>
        </is>
      </c>
    </row>
    <row r="15">
      <c r="A15" s="169" t="inlineStr">
        <is>
          <t>Reading</t>
        </is>
      </c>
      <c r="B15" s="192" t="inlineStr"/>
      <c r="C15" s="192" t="inlineStr"/>
      <c r="D15" s="192" t="inlineStr">
        <is>
          <t>2026-09-01</t>
        </is>
      </c>
      <c r="E15" s="192" t="inlineStr"/>
      <c r="F15" s="171" t="inlineStr">
        <is>
          <t>09-01 — New Worlds — Octavio Paz, “The Sons of La Malinche”</t>
        </is>
      </c>
    </row>
    <row r="16">
      <c r="A16" s="169" t="inlineStr">
        <is>
          <t>Reading</t>
        </is>
      </c>
      <c r="B16" s="192" t="inlineStr"/>
      <c r="C16" s="192" t="inlineStr"/>
      <c r="D16" s="192" t="inlineStr">
        <is>
          <t>2026-09-03</t>
        </is>
      </c>
      <c r="E16" s="192" t="inlineStr"/>
      <c r="F16" s="171" t="inlineStr">
        <is>
          <t>09-03 — Al-Andalus — Borges, “Averroes's Search”</t>
        </is>
      </c>
    </row>
    <row r="17">
      <c r="A17" s="169" t="inlineStr">
        <is>
          <t>Reading</t>
        </is>
      </c>
      <c r="B17" s="192" t="inlineStr"/>
      <c r="C17" s="192" t="inlineStr"/>
      <c r="D17" s="192" t="inlineStr">
        <is>
          <t>2026-09-03</t>
        </is>
      </c>
      <c r="E17" s="192" t="inlineStr"/>
      <c r="F17" s="171" t="inlineStr">
        <is>
          <t>09-03 — Al-Andalus — María Rosa Menocal, The Ornament of the World (selections)</t>
        </is>
      </c>
    </row>
    <row r="18">
      <c r="A18" s="169" t="inlineStr">
        <is>
          <t>Reading</t>
        </is>
      </c>
      <c r="B18" s="192" t="inlineStr"/>
      <c r="C18" s="192" t="inlineStr"/>
      <c r="D18" s="192" t="inlineStr">
        <is>
          <t>2026-09-03</t>
        </is>
      </c>
      <c r="E18" s="192" t="inlineStr"/>
      <c r="F18" s="171" t="inlineStr">
        <is>
          <t>09-03 — Al-Andalus — The Edict of Expulsion</t>
        </is>
      </c>
    </row>
    <row r="19">
      <c r="A19" s="169" t="inlineStr">
        <is>
          <t>Reading</t>
        </is>
      </c>
      <c r="B19" s="192" t="inlineStr"/>
      <c r="C19" s="192" t="inlineStr"/>
      <c r="D19" s="192" t="inlineStr">
        <is>
          <t>2026-09-08</t>
        </is>
      </c>
      <c r="E19" s="192" t="inlineStr"/>
      <c r="F19" s="171" t="inlineStr">
        <is>
          <t>09-08 — Al-Andalus — Antonio de Villegas, The Abencerraje</t>
        </is>
      </c>
    </row>
    <row r="20">
      <c r="A20" s="169" t="inlineStr">
        <is>
          <t>Reading</t>
        </is>
      </c>
      <c r="B20" s="192" t="inlineStr"/>
      <c r="C20" s="192" t="inlineStr"/>
      <c r="D20" s="192" t="inlineStr">
        <is>
          <t>2026-09-10</t>
        </is>
      </c>
      <c r="E20" s="192" t="inlineStr"/>
      <c r="F20" s="171" t="inlineStr">
        <is>
          <t>09-10 — Siglo de oro — Lazarillo de Tormes</t>
        </is>
      </c>
    </row>
    <row r="21">
      <c r="A21" s="169" t="inlineStr">
        <is>
          <t>Reading</t>
        </is>
      </c>
      <c r="B21" s="192" t="inlineStr"/>
      <c r="C21" s="192" t="inlineStr"/>
      <c r="D21" s="192" t="inlineStr">
        <is>
          <t>2026-09-15</t>
        </is>
      </c>
      <c r="E21" s="192" t="inlineStr"/>
      <c r="F21" s="171" t="inlineStr">
        <is>
          <t>09-15 — Siglo de oro — Borges, “Pierre Menard”</t>
        </is>
      </c>
    </row>
    <row r="22">
      <c r="A22" s="169" t="inlineStr">
        <is>
          <t>Reading</t>
        </is>
      </c>
      <c r="B22" s="192" t="inlineStr"/>
      <c r="C22" s="192" t="inlineStr"/>
      <c r="D22" s="192" t="inlineStr">
        <is>
          <t>2026-09-15</t>
        </is>
      </c>
      <c r="E22" s="192" t="inlineStr"/>
      <c r="F22" s="171" t="inlineStr">
        <is>
          <t>09-15 — Siglo de oro — Cervantes, Don Quixote (selections)</t>
        </is>
      </c>
    </row>
    <row r="23">
      <c r="A23" s="169" t="inlineStr">
        <is>
          <t>Reading</t>
        </is>
      </c>
      <c r="B23" s="192" t="inlineStr"/>
      <c r="C23" s="192" t="inlineStr"/>
      <c r="D23" s="192" t="inlineStr">
        <is>
          <t>2026-09-17</t>
        </is>
      </c>
      <c r="E23" s="192" t="inlineStr"/>
      <c r="F23" s="171" t="inlineStr">
        <is>
          <t>09-17 — Race and Gender in Colonial Spanish America — Manuel Fernández de la Cruz, “A Letter from Sor Filotea to Sor Jua</t>
        </is>
      </c>
    </row>
    <row r="24">
      <c r="A24" s="169" t="inlineStr">
        <is>
          <t>Reading</t>
        </is>
      </c>
      <c r="B24" s="192" t="inlineStr"/>
      <c r="C24" s="192" t="inlineStr"/>
      <c r="D24" s="192" t="inlineStr">
        <is>
          <t>2026-09-17</t>
        </is>
      </c>
      <c r="E24" s="192" t="inlineStr"/>
      <c r="F24" s="171" t="inlineStr">
        <is>
          <t>09-17 — Race and Gender in Colonial Spanish America — Sor Juana Inés de la Cruz, “Ballad 2” and “Redondilla 92”</t>
        </is>
      </c>
    </row>
    <row r="25">
      <c r="A25" s="169" t="inlineStr">
        <is>
          <t>Reading</t>
        </is>
      </c>
      <c r="B25" s="192" t="inlineStr"/>
      <c r="C25" s="192" t="inlineStr"/>
      <c r="D25" s="192" t="inlineStr">
        <is>
          <t>2026-09-22</t>
        </is>
      </c>
      <c r="E25" s="192" t="inlineStr"/>
      <c r="F25" s="171" t="inlineStr">
        <is>
          <t>09-22 — Race and Gender in Colonial Spanish America — Ilona Katzew, Casta Painting: Images of Race in Eighteenth-Century</t>
        </is>
      </c>
    </row>
    <row r="26">
      <c r="A26" s="169" t="inlineStr">
        <is>
          <t>Reading</t>
        </is>
      </c>
      <c r="B26" s="192" t="inlineStr"/>
      <c r="C26" s="192" t="inlineStr"/>
      <c r="D26" s="192" t="inlineStr">
        <is>
          <t>2026-09-22</t>
        </is>
      </c>
      <c r="E26" s="192" t="inlineStr"/>
      <c r="F26" s="171" t="inlineStr">
        <is>
          <t>09-22 — Race and Gender in Colonial Spanish America — Miguel Cabrera, Paintings</t>
        </is>
      </c>
    </row>
    <row r="27">
      <c r="A27" s="169" t="inlineStr">
        <is>
          <t>Reading</t>
        </is>
      </c>
      <c r="B27" s="192" t="inlineStr"/>
      <c r="C27" s="192" t="inlineStr"/>
      <c r="D27" s="192" t="inlineStr">
        <is>
          <t>2026-09-22</t>
        </is>
      </c>
      <c r="E27" s="192" t="inlineStr"/>
      <c r="F27" s="171" t="inlineStr">
        <is>
          <t>09-22 — The Wars of Independence — Francisco Goya, Los desastres de la Guerra (images)</t>
        </is>
      </c>
    </row>
    <row r="28">
      <c r="A28" s="169" t="inlineStr">
        <is>
          <t>Reading</t>
        </is>
      </c>
      <c r="B28" s="192" t="inlineStr"/>
      <c r="C28" s="192" t="inlineStr"/>
      <c r="D28" s="192" t="inlineStr">
        <is>
          <t>2026-09-24</t>
        </is>
      </c>
      <c r="E28" s="192" t="inlineStr"/>
      <c r="F28" s="171" t="inlineStr">
        <is>
          <t>09-24 — The Wars of Independence — Andrés Bello, “Address Delivered at the Inauguration of the University of Chile”</t>
        </is>
      </c>
    </row>
    <row r="29">
      <c r="A29" s="169" t="inlineStr">
        <is>
          <t>Reading</t>
        </is>
      </c>
      <c r="B29" s="192" t="inlineStr"/>
      <c r="C29" s="192" t="inlineStr"/>
      <c r="D29" s="192" t="inlineStr">
        <is>
          <t>2026-09-24</t>
        </is>
      </c>
      <c r="E29" s="192" t="inlineStr"/>
      <c r="F29" s="171" t="inlineStr">
        <is>
          <t>09-24 — The Wars of Independence — Simón Bolívar, “Letter from Jamaica”</t>
        </is>
      </c>
    </row>
    <row r="30">
      <c r="A30" s="169" t="inlineStr">
        <is>
          <t>Reading</t>
        </is>
      </c>
      <c r="B30" s="192" t="inlineStr"/>
      <c r="C30" s="192" t="inlineStr"/>
      <c r="D30" s="192" t="inlineStr">
        <is>
          <t>2026-09-29</t>
        </is>
      </c>
      <c r="E30" s="192" t="inlineStr"/>
      <c r="F30" s="171" t="inlineStr">
        <is>
          <t>09-29 — The Wars of Independence — Midterm Review</t>
        </is>
      </c>
    </row>
    <row r="31">
      <c r="A31" s="169" t="inlineStr">
        <is>
          <t>Reading</t>
        </is>
      </c>
      <c r="B31" s="192" t="inlineStr"/>
      <c r="C31" s="192" t="inlineStr"/>
      <c r="D31" s="192" t="inlineStr">
        <is>
          <t>2026-10-06</t>
        </is>
      </c>
      <c r="E31" s="192" t="inlineStr"/>
      <c r="F31" s="171" t="inlineStr">
        <is>
          <t>10-06 — The Birth of Postcolonial America — Domingo de Sarmiento, Selections from Civilization or Barbarism</t>
        </is>
      </c>
    </row>
    <row r="32">
      <c r="A32" s="169" t="inlineStr">
        <is>
          <t>Reading</t>
        </is>
      </c>
      <c r="B32" s="192" t="inlineStr"/>
      <c r="C32" s="192" t="inlineStr"/>
      <c r="D32" s="192" t="inlineStr">
        <is>
          <t>2026-10-13</t>
        </is>
      </c>
      <c r="E32" s="192" t="inlineStr"/>
      <c r="F32" s="171" t="inlineStr">
        <is>
          <t>10-13 — The Birth of Postcolonial America — Borges, “Story of the Warrior and the Captive”</t>
        </is>
      </c>
    </row>
    <row r="33">
      <c r="A33" s="169" t="inlineStr">
        <is>
          <t>Reading</t>
        </is>
      </c>
      <c r="B33" s="192" t="inlineStr"/>
      <c r="C33" s="192" t="inlineStr"/>
      <c r="D33" s="192" t="inlineStr">
        <is>
          <t>2026-10-13</t>
        </is>
      </c>
      <c r="E33" s="192" t="inlineStr"/>
      <c r="F33" s="171" t="inlineStr">
        <is>
          <t>10-13 — The Birth of Postcolonial America — Lucio V. Mansilla, A Visit to the Ranquel Indians (selections)</t>
        </is>
      </c>
    </row>
    <row r="34">
      <c r="A34" s="169" t="inlineStr">
        <is>
          <t>Reading</t>
        </is>
      </c>
      <c r="B34" s="192" t="inlineStr"/>
      <c r="C34" s="192" t="inlineStr"/>
      <c r="D34" s="192" t="inlineStr">
        <is>
          <t>2026-10-15</t>
        </is>
      </c>
      <c r="E34" s="192" t="inlineStr"/>
      <c r="F34" s="171" t="inlineStr">
        <is>
          <t>10-15 — Our America</t>
        </is>
      </c>
    </row>
    <row r="35">
      <c r="A35" s="169" t="inlineStr">
        <is>
          <t>Reading</t>
        </is>
      </c>
      <c r="B35" s="192" t="inlineStr"/>
      <c r="C35" s="192" t="inlineStr"/>
      <c r="D35" s="192" t="inlineStr">
        <is>
          <t>2026-10-15</t>
        </is>
      </c>
      <c r="E35" s="192" t="inlineStr"/>
      <c r="F35" s="171" t="inlineStr">
        <is>
          <t>10-15 — Our America — José Martí, “Our América”</t>
        </is>
      </c>
    </row>
    <row r="36">
      <c r="A36" s="169" t="inlineStr">
        <is>
          <t>Reading</t>
        </is>
      </c>
      <c r="B36" s="192" t="inlineStr"/>
      <c r="C36" s="192" t="inlineStr"/>
      <c r="D36" s="192" t="inlineStr">
        <is>
          <t>2026-10-15</t>
        </is>
      </c>
      <c r="E36" s="192" t="inlineStr"/>
      <c r="F36" s="171" t="inlineStr">
        <is>
          <t>10-15 — Our America — Rubén Darío, “To Roosevelt”</t>
        </is>
      </c>
    </row>
    <row r="37">
      <c r="A37" s="169" t="inlineStr">
        <is>
          <t>Reading</t>
        </is>
      </c>
      <c r="B37" s="192" t="inlineStr"/>
      <c r="C37" s="192" t="inlineStr"/>
      <c r="D37" s="192" t="inlineStr">
        <is>
          <t>2026-10-20</t>
        </is>
      </c>
      <c r="E37" s="192" t="inlineStr"/>
      <c r="F37" s="171" t="inlineStr">
        <is>
          <t>10-20 — 1898 — Miguel de Unamuno, The Tragic Sense of Life in Men and Nations (selections)</t>
        </is>
      </c>
    </row>
    <row r="38">
      <c r="A38" s="169" t="inlineStr">
        <is>
          <t>Reading</t>
        </is>
      </c>
      <c r="B38" s="192" t="inlineStr"/>
      <c r="C38" s="192" t="inlineStr"/>
      <c r="D38" s="192" t="inlineStr">
        <is>
          <t>2026-10-27</t>
        </is>
      </c>
      <c r="E38" s="192" t="inlineStr"/>
      <c r="F38" s="171" t="inlineStr">
        <is>
          <t>10-27 — Tales of Civilization and Barbarism — José Enrique Rodó, Ariel (selections)</t>
        </is>
      </c>
    </row>
    <row r="39">
      <c r="A39" s="169" t="inlineStr">
        <is>
          <t>Reading</t>
        </is>
      </c>
      <c r="B39" s="192" t="inlineStr"/>
      <c r="C39" s="192" t="inlineStr"/>
      <c r="D39" s="192" t="inlineStr">
        <is>
          <t>2026-10-27</t>
        </is>
      </c>
      <c r="E39" s="192" t="inlineStr"/>
      <c r="F39" s="171" t="inlineStr">
        <is>
          <t>10-27 — Tales of Civilization and Barbarism — José Fernández Retamar, Caliban (selections)</t>
        </is>
      </c>
    </row>
    <row r="40">
      <c r="A40" s="169" t="inlineStr">
        <is>
          <t>Reading</t>
        </is>
      </c>
      <c r="B40" s="192" t="inlineStr"/>
      <c r="C40" s="192" t="inlineStr"/>
      <c r="D40" s="192" t="inlineStr">
        <is>
          <t>2026-10-29</t>
        </is>
      </c>
      <c r="E40" s="192" t="inlineStr"/>
      <c r="F40" s="171" t="inlineStr">
        <is>
          <t>10-29 — Tales of Civilization and Barbarism — Castro, “Speech to Intellectuals”</t>
        </is>
      </c>
    </row>
    <row r="41">
      <c r="A41" s="169" t="inlineStr">
        <is>
          <t>Reading</t>
        </is>
      </c>
      <c r="B41" s="192" t="inlineStr"/>
      <c r="C41" s="192" t="inlineStr"/>
      <c r="D41" s="192" t="inlineStr">
        <is>
          <t>2026-10-29</t>
        </is>
      </c>
      <c r="E41" s="192" t="inlineStr"/>
      <c r="F41" s="171" t="inlineStr">
        <is>
          <t>10-29 — Tales of Civilization and Barbarism — Film: Tomás Gutiérrez Alea, Memories of Underdevelopment (screened at home</t>
        </is>
      </c>
    </row>
    <row r="42">
      <c r="A42" s="169" t="inlineStr">
        <is>
          <t>Reading</t>
        </is>
      </c>
      <c r="B42" s="192" t="inlineStr"/>
      <c r="C42" s="192" t="inlineStr"/>
      <c r="D42" s="192" t="inlineStr">
        <is>
          <t>2026-11-03</t>
        </is>
      </c>
      <c r="E42" s="192" t="inlineStr"/>
      <c r="F42" s="171" t="inlineStr">
        <is>
          <t>11-03 — Race and the Anthropological Imagination — José Vasconcelos, The Cosmic Race (selections)</t>
        </is>
      </c>
    </row>
    <row r="43">
      <c r="A43" s="169" t="inlineStr">
        <is>
          <t>Reading</t>
        </is>
      </c>
      <c r="B43" s="192" t="inlineStr"/>
      <c r="C43" s="192" t="inlineStr"/>
      <c r="D43" s="192" t="inlineStr">
        <is>
          <t>2026-11-03</t>
        </is>
      </c>
      <c r="E43" s="192" t="inlineStr"/>
      <c r="F43" s="171" t="inlineStr">
        <is>
          <t>11-03 — Race and the Anthropological Imagination — Oswald de Andrade, Cannibalist Manifesto</t>
        </is>
      </c>
    </row>
    <row r="44">
      <c r="A44" s="169" t="inlineStr">
        <is>
          <t>Reading</t>
        </is>
      </c>
      <c r="B44" s="192" t="inlineStr"/>
      <c r="C44" s="192" t="inlineStr"/>
      <c r="D44" s="192" t="inlineStr">
        <is>
          <t>2026-11-05</t>
        </is>
      </c>
      <c r="E44" s="192" t="inlineStr"/>
      <c r="F44" s="171" t="inlineStr">
        <is>
          <t>11-05 — Race and the Anthropological Imagination — Film: José Luis Sáenz de Heredia, Raza (selections screened during le</t>
        </is>
      </c>
    </row>
    <row r="45">
      <c r="A45" s="169" t="inlineStr">
        <is>
          <t>Reading</t>
        </is>
      </c>
      <c r="B45" s="192" t="inlineStr"/>
      <c r="C45" s="192" t="inlineStr"/>
      <c r="D45" s="192" t="inlineStr">
        <is>
          <t>2026-11-10</t>
        </is>
      </c>
      <c r="E45" s="192" t="inlineStr"/>
      <c r="F45" s="171" t="inlineStr">
        <is>
          <t>11-10 — After the Spanish Republic I</t>
        </is>
      </c>
    </row>
    <row r="46">
      <c r="A46" s="169" t="inlineStr">
        <is>
          <t>Reading</t>
        </is>
      </c>
      <c r="B46" s="192" t="inlineStr"/>
      <c r="C46" s="192" t="inlineStr"/>
      <c r="D46" s="192" t="inlineStr">
        <is>
          <t>2026-11-10</t>
        </is>
      </c>
      <c r="E46" s="192" t="inlineStr"/>
      <c r="F46" s="171" t="inlineStr">
        <is>
          <t>11-10 — After the Spanish Republic I — Film: Guillermo del Toro, Pan’s Labyrinth</t>
        </is>
      </c>
    </row>
    <row r="47">
      <c r="A47" s="169" t="inlineStr">
        <is>
          <t>Reading</t>
        </is>
      </c>
      <c r="B47" s="192" t="inlineStr"/>
      <c r="C47" s="192" t="inlineStr"/>
      <c r="D47" s="192" t="inlineStr">
        <is>
          <t>2026-11-17</t>
        </is>
      </c>
      <c r="E47" s="192" t="inlineStr"/>
      <c r="F47" s="171" t="inlineStr">
        <is>
          <t>11-17 — After the Spanish Republic II</t>
        </is>
      </c>
    </row>
    <row r="48">
      <c r="A48" s="169" t="inlineStr">
        <is>
          <t>Reading</t>
        </is>
      </c>
      <c r="B48" s="192" t="inlineStr"/>
      <c r="C48" s="192" t="inlineStr"/>
      <c r="D48" s="192" t="inlineStr">
        <is>
          <t>2026-11-17</t>
        </is>
      </c>
      <c r="E48" s="192" t="inlineStr"/>
      <c r="F48" s="171" t="inlineStr">
        <is>
          <t>11-17 — After the Spanish Republic II — Film: Pedro Almodóvar, All About My Mother</t>
        </is>
      </c>
    </row>
    <row r="49">
      <c r="A49" s="169" t="inlineStr">
        <is>
          <t>Reading</t>
        </is>
      </c>
      <c r="B49" s="192" t="inlineStr"/>
      <c r="C49" s="192" t="inlineStr"/>
      <c r="D49" s="192" t="inlineStr">
        <is>
          <t>2026-11-24</t>
        </is>
      </c>
      <c r="E49" s="192" t="inlineStr"/>
      <c r="F49" s="171" t="inlineStr">
        <is>
          <t>11-24 — Literature Today — Bolaño, Amulet</t>
        </is>
      </c>
    </row>
    <row r="50">
      <c r="A50" s="169" t="inlineStr">
        <is>
          <t>Reading</t>
        </is>
      </c>
      <c r="B50" s="192" t="inlineStr"/>
      <c r="C50" s="192" t="inlineStr"/>
      <c r="D50" s="192" t="inlineStr">
        <is>
          <t>2026-12-01</t>
        </is>
      </c>
      <c r="E50" s="192" t="inlineStr"/>
      <c r="F50" s="171" t="inlineStr">
        <is>
          <t>12-01 — Literature Today — Bolaño, Amulet</t>
        </is>
      </c>
    </row>
    <row r="51">
      <c r="A51" s="169" t="inlineStr">
        <is>
          <t>Reading</t>
        </is>
      </c>
      <c r="B51" s="192" t="inlineStr"/>
      <c r="C51" s="192" t="inlineStr"/>
      <c r="D51" s="192" t="inlineStr">
        <is>
          <t>2026-12-03</t>
        </is>
      </c>
      <c r="E51" s="192" t="inlineStr"/>
      <c r="F51" s="171" t="inlineStr">
        <is>
          <t>12-03 — FINAL REVIEW</t>
        </is>
      </c>
    </row>
    <row r="52">
      <c r="A52" s="172" t="inlineStr">
        <is>
          <t>Essay 1</t>
        </is>
      </c>
      <c r="B52" s="190" t="inlineStr">
        <is>
          <t>100 pts</t>
        </is>
      </c>
      <c r="C52" s="193" t="inlineStr"/>
      <c r="D52" s="193" t="inlineStr">
        <is>
          <t>2026-09-18</t>
        </is>
      </c>
      <c r="E52" s="193" t="inlineStr">
        <is>
          <t>No</t>
        </is>
      </c>
      <c r="F52" s="174">
        <f>HYPERLINK("https://raw.githubusercontent.com/vengeanceaiUSC/Syllabus-/cursor/add-syllabus-dissector-skill-a676/output/documents/span-290-essay-1.pdf","Open PDF")</f>
        <v/>
      </c>
    </row>
    <row r="53">
      <c r="A53" s="175" t="inlineStr">
        <is>
          <t>Assignment</t>
        </is>
      </c>
      <c r="B53" s="192" t="inlineStr"/>
      <c r="C53" s="192" t="inlineStr"/>
      <c r="D53" s="192" t="inlineStr">
        <is>
          <t>2026-09-18</t>
        </is>
      </c>
      <c r="E53" s="192" t="inlineStr"/>
      <c r="F53" s="171" t="inlineStr">
        <is>
          <t>Essay 1</t>
        </is>
      </c>
    </row>
    <row r="54">
      <c r="A54" s="165" t="inlineStr">
        <is>
          <t>Essay 2</t>
        </is>
      </c>
      <c r="B54" s="190" t="inlineStr">
        <is>
          <t>100 pts</t>
        </is>
      </c>
      <c r="C54" s="191" t="inlineStr"/>
      <c r="D54" s="191" t="inlineStr">
        <is>
          <t>2026-11-20</t>
        </is>
      </c>
      <c r="E54" s="191" t="inlineStr">
        <is>
          <t>No</t>
        </is>
      </c>
      <c r="F54" s="168">
        <f>HYPERLINK("https://raw.githubusercontent.com/vengeanceaiUSC/Syllabus-/cursor/add-syllabus-dissector-skill-a676/output/documents/span-290-essay-2.pdf","Open PDF")</f>
        <v/>
      </c>
    </row>
    <row r="55">
      <c r="A55" s="175" t="inlineStr">
        <is>
          <t>Assignment</t>
        </is>
      </c>
      <c r="B55" s="192" t="inlineStr"/>
      <c r="C55" s="192" t="inlineStr"/>
      <c r="D55" s="192" t="inlineStr">
        <is>
          <t>2026-11-20</t>
        </is>
      </c>
      <c r="E55" s="192" t="inlineStr"/>
      <c r="F55" s="171" t="inlineStr">
        <is>
          <t>Essay 2</t>
        </is>
      </c>
    </row>
    <row r="56">
      <c r="A56" s="172" t="inlineStr">
        <is>
          <t>Midterm Exam</t>
        </is>
      </c>
      <c r="B56" s="190" t="inlineStr">
        <is>
          <t>100 pts</t>
        </is>
      </c>
      <c r="C56" s="193" t="inlineStr"/>
      <c r="D56" s="193" t="inlineStr">
        <is>
          <t>2026-10-01</t>
        </is>
      </c>
      <c r="E56" s="193" t="inlineStr">
        <is>
          <t>No</t>
        </is>
      </c>
      <c r="F56" s="174">
        <f>HYPERLINK("https://raw.githubusercontent.com/vengeanceaiUSC/Syllabus-/cursor/add-syllabus-dissector-skill-a676/output/documents/span-290-midterm-exam.pdf","Open PDF")</f>
        <v/>
      </c>
    </row>
    <row r="57">
      <c r="A57" s="169" t="inlineStr">
        <is>
          <t>Reading</t>
        </is>
      </c>
      <c r="B57" s="192" t="inlineStr"/>
      <c r="C57" s="192" t="inlineStr"/>
      <c r="D57" s="192" t="inlineStr">
        <is>
          <t>2026-09-29</t>
        </is>
      </c>
      <c r="E57" s="192" t="inlineStr"/>
      <c r="F57" s="171" t="inlineStr">
        <is>
          <t>Midterm Review session</t>
        </is>
      </c>
    </row>
    <row r="58">
      <c r="A58" s="176" t="inlineStr">
        <is>
          <t>Exam</t>
        </is>
      </c>
      <c r="B58" s="192" t="inlineStr"/>
      <c r="C58" s="192" t="inlineStr"/>
      <c r="D58" s="192" t="inlineStr">
        <is>
          <t>2026-10-01</t>
        </is>
      </c>
      <c r="E58" s="192" t="inlineStr"/>
      <c r="F58" s="171" t="inlineStr">
        <is>
          <t>Midterm Exam (in class)</t>
        </is>
      </c>
    </row>
    <row r="59">
      <c r="A59" s="165" t="inlineStr">
        <is>
          <t>Final Exam</t>
        </is>
      </c>
      <c r="B59" s="190" t="inlineStr">
        <is>
          <t>100 pts</t>
        </is>
      </c>
      <c r="C59" s="191" t="inlineStr"/>
      <c r="D59" s="191" t="inlineStr"/>
      <c r="E59" s="191" t="inlineStr">
        <is>
          <t>No</t>
        </is>
      </c>
      <c r="F59" s="168">
        <f>HYPERLINK("https://raw.githubusercontent.com/vengeanceaiUSC/Syllabus-/cursor/add-syllabus-dissector-skill-a676/output/documents/span-290-final-exam.pdf","Open PDF")</f>
        <v/>
      </c>
    </row>
    <row r="60">
      <c r="A60" s="169" t="inlineStr">
        <is>
          <t>Reading</t>
        </is>
      </c>
      <c r="B60" s="192" t="inlineStr"/>
      <c r="C60" s="192" t="inlineStr"/>
      <c r="D60" s="192" t="inlineStr">
        <is>
          <t>2026-12-03</t>
        </is>
      </c>
      <c r="E60" s="192" t="inlineStr"/>
      <c r="F60" s="171" t="inlineStr">
        <is>
          <t>Final Review session</t>
        </is>
      </c>
    </row>
    <row r="61">
      <c r="A61" s="29" t="inlineStr">
        <is>
          <t>Total</t>
        </is>
      </c>
      <c r="B61" s="177" t="inlineStr">
        <is>
          <t>500%</t>
        </is>
      </c>
    </row>
  </sheetData>
  <mergeCells count="4">
    <mergeCell ref="A2:F2"/>
    <mergeCell ref="A1:F1"/>
    <mergeCell ref="A7:F7"/>
    <mergeCell ref="B6:F6"/>
  </mergeCells>
  <pageMargins left="0.75" right="0.75" top="1" bottom="1" header="0.5" footer="0.5"/>
</worksheet>
</file>

<file path=xl/worksheets/sheet7.xml><?xml version="1.0" encoding="utf-8"?>
<worksheet xmlns="http://schemas.openxmlformats.org/spreadsheetml/2006/main">
  <sheetPr>
    <tabColor rgb="008C564B"/>
    <outlinePr summaryBelow="1" summaryRight="1"/>
    <pageSetUpPr/>
  </sheetPr>
  <dimension ref="A1:F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42" customWidth="1" min="6" max="6"/>
  </cols>
  <sheetData>
    <row r="1" ht="22" customHeight="1">
      <c r="A1" s="194" t="inlineStr">
        <is>
          <t>JS-310 — The Eastern European Jewish Experience through Literature and Film</t>
        </is>
      </c>
    </row>
    <row r="2" ht="40" customHeight="1">
      <c r="A2" s="28">
        <f>HYPERLINK("https://raw.githubusercontent.com/vengeanceaiUSC/Syllabus-/cursor/add-syllabus-dissector-skill-a676/output/sources/js-310-source.pdf","SEE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Group Project</t>
        </is>
      </c>
      <c r="F9" s="196" t="inlineStr">
        <is>
          <t>Details</t>
        </is>
      </c>
    </row>
    <row r="10">
      <c r="A10" s="197" t="inlineStr">
        <is>
          <t>Weekly Quizzes</t>
        </is>
      </c>
      <c r="B10" s="214" t="inlineStr">
        <is>
          <t>30%</t>
        </is>
      </c>
      <c r="C10" s="215" t="inlineStr"/>
      <c r="D10" s="215" t="inlineStr"/>
      <c r="E10" s="215" t="inlineStr">
        <is>
          <t>No</t>
        </is>
      </c>
      <c r="F10" s="200">
        <f>HYPERLINK("https://raw.githubusercontent.com/vengeanceaiUSC/Syllabus-/cursor/add-syllabus-dissector-skill-a676/output/documents/js-310-weekly-quizzes.pdf","Open PDF")</f>
        <v/>
      </c>
    </row>
    <row r="11">
      <c r="A11" s="201" t="inlineStr">
        <is>
          <t>Homework</t>
        </is>
      </c>
      <c r="B11" s="216" t="inlineStr"/>
      <c r="C11" s="216" t="inlineStr"/>
      <c r="D11" s="216" t="inlineStr"/>
      <c r="E11" s="216" t="inlineStr"/>
      <c r="F11" s="203" t="inlineStr">
        <is>
          <t>Week 1 — Eastern European Jewish Experience: Historical Introduction — (Text on Brightspace); Antony Polonsky, Jews in P</t>
        </is>
      </c>
    </row>
    <row r="12">
      <c r="A12" s="201" t="inlineStr">
        <is>
          <t>Homework</t>
        </is>
      </c>
      <c r="B12" s="216" t="inlineStr"/>
      <c r="C12" s="216" t="inlineStr"/>
      <c r="D12" s="216" t="inlineStr"/>
      <c r="E12" s="216" t="inlineStr"/>
      <c r="F12" s="203" t="inlineStr">
        <is>
          <t>Week 10 — Irony in Holocaust Literature — Imre Kertesz, Fatelessness, pp. 99-189</t>
        </is>
      </c>
    </row>
    <row r="13">
      <c r="A13" s="201" t="inlineStr">
        <is>
          <t>Homework</t>
        </is>
      </c>
      <c r="B13" s="216" t="inlineStr"/>
      <c r="C13" s="216" t="inlineStr"/>
      <c r="D13" s="216" t="inlineStr"/>
      <c r="E13" s="216" t="inlineStr"/>
      <c r="F13" s="203" t="inlineStr">
        <is>
          <t>Week 11 — Testimony as a Genre. Ethics and Poetics. — Imre Kertesz, Fatelessness, pp. 189- 262; Film: Everything is Illu</t>
        </is>
      </c>
    </row>
    <row r="14">
      <c r="A14" s="201" t="inlineStr">
        <is>
          <t>Homework</t>
        </is>
      </c>
      <c r="B14" s="216" t="inlineStr"/>
      <c r="C14" s="216" t="inlineStr"/>
      <c r="D14" s="216" t="inlineStr"/>
      <c r="E14" s="216" t="inlineStr"/>
      <c r="F14" s="203" t="inlineStr">
        <is>
          <t>Week 12 — Jewish American Literature — Gary Shteyngart, Super Sad True Love Story, pp. 1- 98</t>
        </is>
      </c>
    </row>
    <row r="15">
      <c r="A15" s="201" t="inlineStr">
        <is>
          <t>Homework</t>
        </is>
      </c>
      <c r="B15" s="216" t="inlineStr"/>
      <c r="C15" s="216" t="inlineStr"/>
      <c r="D15" s="216" t="inlineStr"/>
      <c r="E15" s="216" t="inlineStr"/>
      <c r="F15" s="203" t="inlineStr">
        <is>
          <t>Week 13 — Eastern European Influence on Contemporary Jewish Identity i — Gary Shteyngart, Super Sad True Love Story, pp.</t>
        </is>
      </c>
    </row>
    <row r="16">
      <c r="A16" s="201" t="inlineStr">
        <is>
          <t>Homework</t>
        </is>
      </c>
      <c r="B16" s="216" t="inlineStr"/>
      <c r="C16" s="216" t="inlineStr"/>
      <c r="D16" s="216" t="inlineStr"/>
      <c r="E16" s="216" t="inlineStr"/>
      <c r="F16" s="203" t="inlineStr">
        <is>
          <t>Week 14 — Jewishness and Postmodernism — Gary Shteyngart, Super Sad True Love Story, pp. 203- 330</t>
        </is>
      </c>
    </row>
    <row r="17">
      <c r="A17" s="201" t="inlineStr">
        <is>
          <t>Homework</t>
        </is>
      </c>
      <c r="B17" s="216" t="inlineStr"/>
      <c r="C17" s="216" t="inlineStr"/>
      <c r="D17" s="216" t="inlineStr"/>
      <c r="E17" s="216" t="inlineStr"/>
      <c r="F17" s="203" t="inlineStr">
        <is>
          <t>Week 14 — Jews and Money — Film: Uncut Gems, dir. Safdie Brothers</t>
        </is>
      </c>
    </row>
    <row r="18">
      <c r="A18" s="201" t="inlineStr">
        <is>
          <t>Homework</t>
        </is>
      </c>
      <c r="B18" s="216" t="inlineStr"/>
      <c r="C18" s="216" t="inlineStr"/>
      <c r="D18" s="216" t="inlineStr"/>
      <c r="E18" s="216" t="inlineStr"/>
      <c r="F18" s="203" t="inlineStr">
        <is>
          <t>Week 2 — Small Town Jewish Life — Sholem Aleichem, Tevye the Dairyman and Motl the Cantor’s Son, pp. 1-1</t>
        </is>
      </c>
    </row>
    <row r="19">
      <c r="A19" s="201" t="inlineStr">
        <is>
          <t>Homework</t>
        </is>
      </c>
      <c r="B19" s="216" t="inlineStr"/>
      <c r="C19" s="216" t="inlineStr"/>
      <c r="D19" s="216" t="inlineStr"/>
      <c r="E19" s="216" t="inlineStr"/>
      <c r="F19" s="203" t="inlineStr">
        <is>
          <t>Week 3 — Tradition vs Modernity — Sholem Aleichem, Tevye the Dairyman and Motl the Cantor’s Son, pp. 135</t>
        </is>
      </c>
    </row>
    <row r="20">
      <c r="A20" s="201" t="inlineStr">
        <is>
          <t>Homework</t>
        </is>
      </c>
      <c r="B20" s="216" t="inlineStr"/>
      <c r="C20" s="216" t="inlineStr"/>
      <c r="D20" s="216" t="inlineStr"/>
      <c r="E20" s="216" t="inlineStr"/>
      <c r="F20" s="203" t="inlineStr">
        <is>
          <t>Week 4 — Jewish Emigration — Sholem Aleichem, Tevye the Dairyman and Motl the Cantor’s Son, pp. 235</t>
        </is>
      </c>
    </row>
    <row r="21">
      <c r="A21" s="201" t="inlineStr">
        <is>
          <t>Homework</t>
        </is>
      </c>
      <c r="B21" s="216" t="inlineStr"/>
      <c r="C21" s="216" t="inlineStr"/>
      <c r="D21" s="216" t="inlineStr"/>
      <c r="E21" s="216" t="inlineStr"/>
      <c r="F21" s="203" t="inlineStr">
        <is>
          <t>Week 5 — Americanization — Sholem Aleichem, Tevye the Dairyman and Motl the Cantor’s Son, pp. 281</t>
        </is>
      </c>
    </row>
    <row r="22">
      <c r="A22" s="201" t="inlineStr">
        <is>
          <t>Homework</t>
        </is>
      </c>
      <c r="B22" s="216" t="inlineStr"/>
      <c r="C22" s="216" t="inlineStr"/>
      <c r="D22" s="216" t="inlineStr"/>
      <c r="E22" s="216" t="inlineStr"/>
      <c r="F22" s="203" t="inlineStr">
        <is>
          <t>Week 6 — Jewish Criminal Underground — Issac Babel, Odessa Stories, pp. 1-103</t>
        </is>
      </c>
    </row>
    <row r="23">
      <c r="A23" s="201" t="inlineStr">
        <is>
          <t>Homework</t>
        </is>
      </c>
      <c r="B23" s="216" t="inlineStr"/>
      <c r="C23" s="216" t="inlineStr"/>
      <c r="D23" s="216" t="inlineStr"/>
      <c r="E23" s="216" t="inlineStr"/>
      <c r="F23" s="203" t="inlineStr">
        <is>
          <t>Week 7 — Jewish Childhood — Isaac Babel, Odessa Stories, pp. 103-175</t>
        </is>
      </c>
    </row>
    <row r="24">
      <c r="A24" s="201" t="inlineStr">
        <is>
          <t>Homework</t>
        </is>
      </c>
      <c r="B24" s="216" t="inlineStr"/>
      <c r="C24" s="216" t="inlineStr"/>
      <c r="D24" s="216" t="inlineStr"/>
      <c r="E24" s="216" t="inlineStr"/>
      <c r="F24" s="203" t="inlineStr">
        <is>
          <t>Week 8 — Holocaust and the Problem of Its Representation — Film: Unzere Kinder, dir. Natan Gross.</t>
        </is>
      </c>
    </row>
    <row r="25">
      <c r="A25" s="201" t="inlineStr">
        <is>
          <t>Homework</t>
        </is>
      </c>
      <c r="B25" s="216" t="inlineStr"/>
      <c r="C25" s="216" t="inlineStr"/>
      <c r="D25" s="216" t="inlineStr"/>
      <c r="E25" s="216" t="inlineStr"/>
      <c r="F25" s="203" t="inlineStr">
        <is>
          <t>Week 9 — Holocaust Literature: Characteristics — Imre Kertesz, Fatelessness, pp. 1-99</t>
        </is>
      </c>
    </row>
    <row r="26">
      <c r="A26" s="204" t="inlineStr">
        <is>
          <t>Midterm Oral Exam</t>
        </is>
      </c>
      <c r="B26" s="214" t="inlineStr">
        <is>
          <t>20%</t>
        </is>
      </c>
      <c r="C26" s="217" t="inlineStr"/>
      <c r="D26" s="217" t="inlineStr"/>
      <c r="E26" s="217" t="inlineStr">
        <is>
          <t>No</t>
        </is>
      </c>
      <c r="F26" s="206">
        <f>HYPERLINK("https://raw.githubusercontent.com/vengeanceaiUSC/Syllabus-/cursor/add-syllabus-dissector-skill-a676/output/documents/js-310-midterm-oral-exam.pdf","Open PDF")</f>
        <v/>
      </c>
    </row>
    <row r="27">
      <c r="A27" s="207" t="inlineStr">
        <is>
          <t>Assignment</t>
        </is>
      </c>
      <c r="B27" s="216" t="inlineStr"/>
      <c r="C27" s="216" t="inlineStr"/>
      <c r="D27" s="216" t="inlineStr"/>
      <c r="E27" s="216" t="inlineStr"/>
      <c r="F27" s="203" t="inlineStr">
        <is>
          <t>Midterm Oral Exam — instructional week 8 (15-min quote presentation, 60 pts max)</t>
        </is>
      </c>
    </row>
    <row r="28">
      <c r="A28" s="197" t="inlineStr">
        <is>
          <t>Final Oral Exam</t>
        </is>
      </c>
      <c r="B28" s="214" t="inlineStr">
        <is>
          <t>20%</t>
        </is>
      </c>
      <c r="C28" s="215" t="inlineStr"/>
      <c r="D28" s="215" t="inlineStr"/>
      <c r="E28" s="215" t="inlineStr">
        <is>
          <t>No</t>
        </is>
      </c>
      <c r="F28" s="200">
        <f>HYPERLINK("https://raw.githubusercontent.com/vengeanceaiUSC/Syllabus-/cursor/add-syllabus-dissector-skill-a676/output/documents/js-310-final-oral-exam.pdf","Open PDF")</f>
        <v/>
      </c>
    </row>
    <row r="29">
      <c r="A29" s="207" t="inlineStr">
        <is>
          <t>Assignment</t>
        </is>
      </c>
      <c r="B29" s="216" t="inlineStr"/>
      <c r="C29" s="216" t="inlineStr"/>
      <c r="D29" s="216" t="inlineStr"/>
      <c r="E29" s="216" t="inlineStr"/>
      <c r="F29" s="203" t="inlineStr">
        <is>
          <t>Final Oral Exam — last instructional week (15-min presentation on Love/Tradition/Jewishness/Violence/Humor across 3 read</t>
        </is>
      </c>
    </row>
    <row r="30">
      <c r="A30" s="204" t="inlineStr">
        <is>
          <t>Midterm Quiz</t>
        </is>
      </c>
      <c r="B30" s="214" t="inlineStr">
        <is>
          <t>15%</t>
        </is>
      </c>
      <c r="C30" s="217" t="inlineStr"/>
      <c r="D30" s="217" t="inlineStr"/>
      <c r="E30" s="217" t="inlineStr">
        <is>
          <t>No</t>
        </is>
      </c>
      <c r="F30" s="206">
        <f>HYPERLINK("https://raw.githubusercontent.com/vengeanceaiUSC/Syllabus-/cursor/add-syllabus-dissector-skill-a676/output/documents/js-310-midterm-quiz.pdf","Open PDF")</f>
        <v/>
      </c>
    </row>
    <row r="31">
      <c r="A31" s="208" t="inlineStr">
        <is>
          <t>Exam</t>
        </is>
      </c>
      <c r="B31" s="216" t="inlineStr"/>
      <c r="C31" s="216" t="inlineStr"/>
      <c r="D31" s="216" t="inlineStr"/>
      <c r="E31" s="216" t="inlineStr"/>
      <c r="F31" s="203" t="inlineStr">
        <is>
          <t>Midterm Quiz — Thursday, instructional week 7 (20 questions, closed-ended)</t>
        </is>
      </c>
    </row>
    <row r="32">
      <c r="A32" s="197" t="inlineStr">
        <is>
          <t>Final Quiz</t>
        </is>
      </c>
      <c r="B32" s="214" t="inlineStr">
        <is>
          <t>15%</t>
        </is>
      </c>
      <c r="C32" s="215" t="inlineStr"/>
      <c r="D32" s="215" t="inlineStr"/>
      <c r="E32" s="215" t="inlineStr">
        <is>
          <t>No</t>
        </is>
      </c>
      <c r="F32" s="200">
        <f>HYPERLINK("https://raw.githubusercontent.com/vengeanceaiUSC/Syllabus-/cursor/add-syllabus-dissector-skill-a676/output/documents/js-310-final-quiz.pdf","Open PDF")</f>
        <v/>
      </c>
    </row>
    <row r="33">
      <c r="A33" s="208" t="inlineStr">
        <is>
          <t>Exam</t>
        </is>
      </c>
      <c r="B33" s="216" t="inlineStr"/>
      <c r="C33" s="216" t="inlineStr"/>
      <c r="D33" s="216" t="inlineStr"/>
      <c r="E33" s="216" t="inlineStr"/>
      <c r="F33" s="203" t="inlineStr">
        <is>
          <t>Final Quiz — same format as midterm, second half of semester</t>
        </is>
      </c>
    </row>
    <row r="34">
      <c r="A34" s="29" t="inlineStr">
        <is>
          <t>Total</t>
        </is>
      </c>
      <c r="B34" s="209" t="inlineStr">
        <is>
          <t>100%</t>
        </is>
      </c>
    </row>
  </sheetData>
  <mergeCells count="4">
    <mergeCell ref="A2:F2"/>
    <mergeCell ref="A1:F1"/>
    <mergeCell ref="A7:F7"/>
    <mergeCell ref="B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2026-08-25T22:02:33Z</dcterms:modified>
</cp:coreProperties>
</file>